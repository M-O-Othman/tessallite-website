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othm\Desktop\Goodscreens\"/>
    </mc:Choice>
  </mc:AlternateContent>
  <xr:revisionPtr revIDLastSave="0" documentId="8_{D2EF0ABE-A966-4142-9559-94A9D0433FDB}" xr6:coauthVersionLast="47" xr6:coauthVersionMax="47" xr10:uidLastSave="{00000000-0000-0000-0000-000000000000}"/>
  <bookViews>
    <workbookView xWindow="-103" yWindow="-103" windowWidth="24892" windowHeight="14914" xr2:uid="{4ECB5F93-2A08-4204-BB60-FF1730518FD8}"/>
  </bookViews>
  <sheets>
    <sheet name="Sheet1" sheetId="1" r:id="rId1"/>
    <sheet name="Sheet2" sheetId="2" r:id="rId2"/>
    <sheet name="Sheet3" sheetId="3" r:id="rId3"/>
  </sheets>
  <calcPr calcId="191029" fullCalcOnLoad="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<sst xmlns="http://schemas.openxmlformats.org/spreadsheetml/2006/main" count="146" uniqueCount="107">
  <si>
    <t>Title</t>
  </si>
  <si>
    <t>This:</t>
  </si>
  <si>
    <t>Plus this:</t>
  </si>
  <si>
    <t>Equals:</t>
  </si>
  <si>
    <t xml:space="preserve">Comment </t>
  </si>
  <si>
    <t>MODEL STATUS</t>
  </si>
  <si>
    <t>Mock source data and semantic model mapping — dashboard formulas and charts tie to these blocks</t>
  </si>
  <si>
    <t>Month</t>
  </si>
  <si>
    <t>Gross Sales (£m)</t>
  </si>
  <si>
    <t>Discount (£m)</t>
  </si>
  <si>
    <t>Net Sales (£m)</t>
  </si>
  <si>
    <t>Net Profit (£m)</t>
  </si>
  <si>
    <t>Gross Margin</t>
  </si>
  <si>
    <t>Quantity (000s)</t>
  </si>
  <si>
    <t>Orders (000s)</t>
  </si>
  <si>
    <t>Customers (000s)</t>
  </si>
  <si>
    <t>Category</t>
  </si>
  <si>
    <t>Avg Ticket (£)</t>
  </si>
  <si>
    <t>Grocery</t>
  </si>
  <si>
    <t>Apparel</t>
  </si>
  <si>
    <t>Electronics</t>
  </si>
  <si>
    <t>Home &amp; Kitchen</t>
  </si>
  <si>
    <t>Health &amp; Beauty</t>
  </si>
  <si>
    <t>Sports</t>
  </si>
  <si>
    <t>Region</t>
  </si>
  <si>
    <t>Northeast</t>
  </si>
  <si>
    <t>South</t>
  </si>
  <si>
    <t>Midwest</t>
  </si>
  <si>
    <t>West</t>
  </si>
  <si>
    <t>Customer Segment</t>
  </si>
  <si>
    <t>Revenue / Customer (£)</t>
  </si>
  <si>
    <t>Bronze</t>
  </si>
  <si>
    <t>Silver</t>
  </si>
  <si>
    <t>Gold</t>
  </si>
  <si>
    <t>Platinum</t>
  </si>
  <si>
    <t>Promotion Type</t>
  </si>
  <si>
    <t>Promo Cost (£m)</t>
  </si>
  <si>
    <t>Target Orders (000s)</t>
  </si>
  <si>
    <t>Profit / Promo Cost</t>
  </si>
  <si>
    <t>No Promo</t>
  </si>
  <si>
    <t>Email</t>
  </si>
  <si>
    <t>Direct Mail</t>
  </si>
  <si>
    <t>In-Store Event</t>
  </si>
  <si>
    <t>TV / Radio</t>
  </si>
  <si>
    <t>Press / Catalog</t>
  </si>
  <si>
    <t>Table</t>
  </si>
  <si>
    <t>Type</t>
  </si>
  <si>
    <t>Primary Key</t>
  </si>
  <si>
    <t>Join Path</t>
  </si>
  <si>
    <t>Dashboard Use</t>
  </si>
  <si>
    <t>Notes</t>
  </si>
  <si>
    <t>store_sales</t>
  </si>
  <si>
    <t>fact</t>
  </si>
  <si>
    <t>ss_* keys</t>
  </si>
  <si>
    <t>date_dim, item, store, customer, promotion</t>
  </si>
  <si>
    <t>gross/net/profit/discounts</t>
  </si>
  <si>
    <t>Central transaction fact table</t>
  </si>
  <si>
    <t>date_dim</t>
  </si>
  <si>
    <t>dim_detail</t>
  </si>
  <si>
    <t>d_date_sk</t>
  </si>
  <si>
    <t>store_sales.ss_sold_date_sk</t>
  </si>
  <si>
    <t>month / quarter / year</t>
  </si>
  <si>
    <t>Calendar trend axis</t>
  </si>
  <si>
    <t>item</t>
  </si>
  <si>
    <t>i_item_sk</t>
  </si>
  <si>
    <t>store_sales.ss_item_sk</t>
  </si>
  <si>
    <t>brand / category / class</t>
  </si>
  <si>
    <t>Category mix and margin</t>
  </si>
  <si>
    <t>store</t>
  </si>
  <si>
    <t>s_store_sk</t>
  </si>
  <si>
    <t>store_sales.ss_store_sk</t>
  </si>
  <si>
    <t>region / state</t>
  </si>
  <si>
    <t>Regional performance</t>
  </si>
  <si>
    <t>customer</t>
  </si>
  <si>
    <t>c_customer_sk</t>
  </si>
  <si>
    <t>store_sales.ss_customer_sk</t>
  </si>
  <si>
    <t>customer_segment</t>
  </si>
  <si>
    <t>Loyalty economics</t>
  </si>
  <si>
    <t>promotion</t>
  </si>
  <si>
    <t>p_promo_sk</t>
  </si>
  <si>
    <t>store_sales.ss_promo_sk</t>
  </si>
  <si>
    <t>promotion_type</t>
  </si>
  <si>
    <t>Promo ROI</t>
  </si>
  <si>
    <t>NET SALES</t>
  </si>
  <si>
    <t>▲ 7.8% vs PY</t>
  </si>
  <si>
    <t>NET PROFIT</t>
  </si>
  <si>
    <t>▲ 11.4% vs PY</t>
  </si>
  <si>
    <t>GROSS MARGIN</t>
  </si>
  <si>
    <t>▲ 50 bps vs PY</t>
  </si>
  <si>
    <t>AVG TICKET</t>
  </si>
  <si>
    <t>▲ $6 vs PY</t>
  </si>
  <si>
    <t>ORDERS</t>
  </si>
  <si>
    <t>▲ 5.2% vs PY</t>
  </si>
  <si>
    <t>ACTIVE CUSTOMERS</t>
  </si>
  <si>
    <t>▲ 4.0% vs PY</t>
  </si>
  <si>
    <t>REV / CUSTOMER</t>
  </si>
  <si>
    <t>▲ 3.6% vs PY</t>
  </si>
  <si>
    <t>DISCOUNT RATE</t>
  </si>
  <si>
    <t>▼ 40 bps vs PY</t>
  </si>
  <si>
    <t>Executive Takeaways</t>
  </si>
  <si>
    <t>Data Quality Checks</t>
  </si>
  <si>
    <t>Holiday peak months (Nov-Dec) account for ~21% of LTM net sales; West is the largest region and Electronics/Grocery carry the sales base.</t>
  </si>
  <si>
    <t>Monthly = Category net sales</t>
  </si>
  <si>
    <t>Email and In-Store Event promos beat response targets; customer economics improve materially from Bronze to Platinum.</t>
  </si>
  <si>
    <t>Monthly = Promo net sales</t>
  </si>
  <si>
    <t>Active Refreshed 22-7-2026</t>
  </si>
  <si>
    <t>Retail Analytics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</si>
</sst>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200" formatCode="#,##0.0&quot;M&quot;"/>
    <numFmt numFmtId="201" formatCode="&quot;£&quot;0.0,&quot;bn&quot;"/>
    <numFmt numFmtId="166" formatCode="&quot;£&quot;0.0&quot;m&quot;"/>
    <numFmt numFmtId="167" formatCode="0.0%"/>
    <numFmt numFmtId="168" formatCode="&quot;£&quot;0"/>
    <numFmt numFmtId="169" formatCode="#,##0&quot;k&quot;"/>
    <numFmt numFmtId="170" formatCode="0.0\x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22"/>
      <color rgb="FF3B3838"/>
      <name val="Segoe UI Light"/>
      <family val="2"/>
    </font>
    <font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scheme val="minor"/>
    </font>
    <font>
      <b/>
      <sz val="11"/>
      <color rgb="FF3B3838"/>
      <name val="Calibri"/>
      <scheme val="minor"/>
    </font>
    <font>
      <b/>
      <sz val="11"/>
      <color rgb="FFFFFFFF"/>
      <name val="Calibri"/>
      <scheme val="minor"/>
    </font>
    <font>
      <b/>
      <sz val="11"/>
      <color rgb="FF649B3F"/>
      <name val="Calibri"/>
      <scheme val="minor"/>
    </font>
    <font>
      <b/>
      <sz val="11"/>
      <color rgb="FFFFFFFF"/>
      <name val="Calibri"/>
      <family val="2"/>
      <scheme val="minor"/>
    </font>
    <font>
      <sz val="26"/>
      <color theme="7" tint="0.79998168889431442"/>
      <name val="Segoe UI Light"/>
      <family val="2"/>
    </font>
    <font>
      <b/>
      <sz val="12"/>
      <color rgb="FF649B3F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20"/>
      <color rgb="FF3B3838"/>
      <name val="Segoe UI Light"/>
      <family val="2"/>
    </font>
    <font>
      <b/>
      <sz val="14"/>
      <color rgb="FF649B3F"/>
      <name val="Calibri"/>
      <family val="2"/>
      <scheme val="minor"/>
    </font>
    <font>
      <b/>
      <sz val="14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rgb="FF649B3F"/>
        <bgColor rgb="FF000000"/>
      </patternFill>
    </fill>
    <fill>
      <patternFill patternType="solid">
        <fgColor rgb="FF649B3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2" fillId="0" borderId="1" applyNumberFormat="0" applyFill="0" applyAlignment="0" applyProtection="0"/>
    <xf numFmtId="0" fontId="1" fillId="2" borderId="0"/>
    <xf numFmtId="0" fontId="1" fillId="3" borderId="2"/>
  </cellStyleXfs>
  <cellXfs count="38">
    <xf numFmtId="0" fontId="0" fillId="0" borderId="0" xfId="0"/>
    <xf numFmtId="0" fontId="3" fillId="0" borderId="0" xfId="0" applyFont="1"/>
    <xf numFmtId="0" fontId="5" fillId="4" borderId="0" xfId="2" applyFont="1" applyFill="1"/>
    <xf numFmtId="0" fontId="5" fillId="5" borderId="2" xfId="3" applyFont="1" applyFill="1"/>
    <xf numFmtId="0" fontId="4" fillId="6" borderId="0" xfId="1" applyFont="1" applyFill="1" applyBorder="1"/>
    <xf numFmtId="0" fontId="0" fillId="8" borderId="0" xfId="0" applyFill="1"/>
    <xf numFmtId="0" fontId="6" fillId="9" borderId="0" xfId="0" applyFont="1" applyFill="1"/>
    <xf numFmtId="0" fontId="7" fillId="10" borderId="0" xfId="0" applyFont="1" applyFill="1" applyAlignment="1">
      <alignment horizontal="left" vertical="center" wrapText="1"/>
    </xf>
    <xf numFmtId="0" fontId="8" fillId="7" borderId="0" xfId="0" applyFont="1" applyFill="1" applyAlignment="1">
      <alignment horizontal="left" vertical="center" wrapText="1"/>
    </xf>
    <xf numFmtId="0" fontId="6" fillId="9" borderId="0" xfId="0" applyFont="1" applyFill="1" applyAlignment="1">
      <alignment horizontal="left" vertical="center"/>
    </xf>
    <xf numFmtId="0" fontId="6" fillId="9" borderId="0" xfId="0" applyFont="1" applyFill="1" applyAlignment="1">
      <alignment horizontal="left" vertical="center" wrapText="1"/>
    </xf>
    <xf numFmtId="0" fontId="6" fillId="11" borderId="0" xfId="0" applyFont="1" applyFill="1" applyAlignment="1">
      <alignment horizontal="left" vertical="center" wrapText="1"/>
    </xf>
    <xf numFmtId="0" fontId="6" fillId="10" borderId="0" xfId="0" applyFont="1" applyFill="1" applyAlignment="1">
      <alignment horizontal="left" vertical="center" wrapText="1"/>
    </xf>
    <xf numFmtId="0" fontId="9" fillId="11" borderId="0" xfId="0" applyFont="1" applyFill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  <xf numFmtId="166" fontId="6" fillId="11" borderId="0" xfId="0" applyNumberFormat="1" applyFont="1" applyFill="1" applyAlignment="1">
      <alignment horizontal="left" vertical="center"/>
    </xf>
    <xf numFmtId="167" fontId="6" fillId="3" borderId="0" xfId="0" applyNumberFormat="1" applyFont="1" applyFill="1" applyAlignment="1">
      <alignment horizontal="left" vertical="center"/>
    </xf>
    <xf numFmtId="169" fontId="6" fillId="11" borderId="0" xfId="0" applyNumberFormat="1" applyFont="1" applyFill="1" applyAlignment="1">
      <alignment horizontal="left" vertical="center"/>
    </xf>
    <xf numFmtId="0" fontId="6" fillId="11" borderId="0" xfId="0" applyFont="1" applyFill="1" applyAlignment="1">
      <alignment horizontal="left" vertical="center"/>
    </xf>
    <xf numFmtId="168" fontId="6" fillId="11" borderId="0" xfId="0" applyNumberFormat="1" applyFont="1" applyFill="1" applyAlignment="1">
      <alignment horizontal="left" vertical="center"/>
    </xf>
    <xf numFmtId="168" fontId="6" fillId="3" borderId="0" xfId="0" applyNumberFormat="1" applyFont="1" applyFill="1" applyAlignment="1">
      <alignment horizontal="left" vertical="center"/>
    </xf>
    <xf numFmtId="170" fontId="6" fillId="3" borderId="0" xfId="0" applyNumberFormat="1" applyFont="1" applyFill="1" applyAlignment="1">
      <alignment horizontal="left" vertical="center"/>
    </xf>
    <xf numFmtId="17" fontId="6" fillId="11" borderId="0" xfId="0" applyNumberFormat="1" applyFont="1" applyFill="1" applyAlignment="1">
      <alignment horizontal="left" vertical="center"/>
    </xf>
    <xf numFmtId="0" fontId="12" fillId="11" borderId="0" xfId="0" applyFont="1" applyFill="1" applyAlignment="1">
      <alignment horizontal="left" vertical="center" wrapText="1"/>
    </xf>
    <xf numFmtId="0" fontId="13" fillId="11" borderId="0" xfId="0" applyFont="1" applyFill="1" applyAlignment="1">
      <alignment horizontal="left" vertical="center" wrapText="1"/>
    </xf>
    <xf numFmtId="166" fontId="14" fillId="11" borderId="0" xfId="0" applyNumberFormat="1" applyFont="1" applyFill="1" applyAlignment="1">
      <alignment horizontal="left" vertical="center" wrapText="1"/>
    </xf>
    <xf numFmtId="169" fontId="14" fillId="11" borderId="0" xfId="0" applyNumberFormat="1" applyFont="1" applyFill="1" applyAlignment="1">
      <alignment horizontal="left" vertical="center" wrapText="1"/>
    </xf>
    <xf numFmtId="167" fontId="14" fillId="11" borderId="0" xfId="0" applyNumberFormat="1" applyFont="1" applyFill="1" applyAlignment="1">
      <alignment horizontal="left" vertical="center" wrapText="1"/>
    </xf>
    <xf numFmtId="168" fontId="14" fillId="11" borderId="0" xfId="0" applyNumberFormat="1" applyFont="1" applyFill="1" applyAlignment="1">
      <alignment horizontal="left" vertical="center" wrapText="1"/>
    </xf>
    <xf numFmtId="0" fontId="16" fillId="11" borderId="0" xfId="0" applyFont="1" applyFill="1" applyAlignment="1">
      <alignment horizontal="left" vertical="center" wrapText="1"/>
    </xf>
    <xf numFmtId="0" fontId="15" fillId="11" borderId="0" xfId="0" applyFont="1" applyFill="1" applyAlignment="1">
      <alignment horizontal="left" vertical="center" wrapText="1"/>
    </xf>
    <xf numFmtId="0" fontId="11" fillId="12" borderId="0" xfId="0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 wrapText="1"/>
    </xf>
    <xf numFmtId="201" fontId="14" fillId="11" borderId="0" xfId="0" applyNumberFormat="1" applyFont="1" applyFill="1" applyAlignment="1">
      <alignment horizontal="left" vertical="center" wrapText="1"/>
    </xf>
    <xf numFmtId="200" fontId="14" fillId="11" borderId="0" xfId="0" applyNumberFormat="1" applyFont="1" applyFill="1" applyAlignment="1">
      <alignment horizontal="left" vertical="center" wrapText="1"/>
    </xf>
    <xf numFmtId="168" fontId="6" fillId="11" borderId="0" xfId="0" applyNumberFormat="1" applyFont="1" applyFill="1" applyAlignment="1">
      <alignment horizontal="left" vertical="center"/>
    </xf>
    <xf numFmtId="167" fontId="6" fillId="11" borderId="0" xfId="0" applyNumberFormat="1" applyFont="1" applyFill="1" applyAlignment="1">
      <alignment horizontal="left" vertical="center"/>
    </xf>
    <xf numFmtId="167" fontId="6" fillId="3" borderId="0" xfId="0" applyNumberFormat="1" applyFont="1" applyFill="1" applyAlignment="1">
      <alignment horizontal="left" vertical="center"/>
    </xf>
  </cellXfs>
  <cellStyles count="4">
    <cellStyle name="GrayCell" xfId="2" xr:uid="{F9DF5C6D-1CB3-4579-A6C2-1EFE94D8FD05}"/>
    <cellStyle name="Heading 3" xfId="1" builtinId="18"/>
    <cellStyle name="Normal" xfId="0" builtinId="0"/>
    <cellStyle name="YellowCell" xfId="3" xr:uid="{AA5E6C88-D267-4648-9341-73020A44DF8A}"/>
  </cellStyles>
  <dxfs count="60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minor"/>
      </font>
      <fill>
        <patternFill patternType="solid">
          <fgColor indexed="64"/>
          <bgColor rgb="FF649B3F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2F2F2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2F2F2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2F2F2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2F2F2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2F2F2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2F2F2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2F2F2"/>
        </patternFill>
      </fill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minor"/>
      </font>
      <fill>
        <patternFill patternType="solid">
          <fgColor indexed="64"/>
          <bgColor rgb="FF649B3F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70" formatCode="0.0\x"/>
      <fill>
        <patternFill patternType="solid">
          <fgColor indexed="64"/>
          <bgColor rgb="FFFFFF9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&quot;£&quot;0.0&quot;m&quot;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9" formatCode="#,##0&quot;k&quot;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9" formatCode="#,##0&quot;k&quot;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&quot;£&quot;0.0&quot;m&quot;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&quot;£&quot;0.0&quot;m&quot;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&quot;£&quot;0.0&quot;m&quot;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minor"/>
      </font>
      <fill>
        <patternFill patternType="solid">
          <fgColor indexed="64"/>
          <bgColor rgb="FF649B3F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8" formatCode="&quot;£&quot;0"/>
      <fill>
        <patternFill patternType="solid">
          <fgColor indexed="64"/>
          <bgColor rgb="FFFFFF9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8" formatCode="&quot;£&quot;0"/>
      <fill>
        <patternFill patternType="solid">
          <fgColor indexed="64"/>
          <bgColor rgb="FFFFFF9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9" formatCode="#,##0&quot;k&quot;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9" formatCode="#,##0&quot;k&quot;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&quot;£&quot;0.0&quot;m&quot;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&quot;£&quot;0.0&quot;m&quot;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minor"/>
      </font>
      <fill>
        <patternFill patternType="solid">
          <fgColor indexed="64"/>
          <bgColor rgb="FF649B3F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9" formatCode="#,##0&quot;k&quot;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9" formatCode="#,##0&quot;k&quot;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0.0%"/>
      <fill>
        <patternFill patternType="solid">
          <fgColor indexed="64"/>
          <bgColor rgb="FFFFFF9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&quot;£&quot;0.0&quot;m&quot;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&quot;£&quot;0.0&quot;m&quot;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&quot;£&quot;0.0&quot;m&quot;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&quot;£&quot;0.0&quot;m&quot;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minor"/>
      </font>
      <fill>
        <patternFill patternType="solid">
          <fgColor indexed="64"/>
          <bgColor rgb="FF649B3F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8" formatCode="&quot;£&quot;0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0.0%"/>
      <fill>
        <patternFill patternType="solid">
          <fgColor indexed="64"/>
          <bgColor rgb="FFFFFF9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9" formatCode="#,##0&quot;k&quot;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9" formatCode="#,##0&quot;k&quot;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9" formatCode="#,##0&quot;k&quot;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&quot;£&quot;0.0&quot;m&quot;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&quot;£&quot;0.0&quot;m&quot;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&quot;£&quot;0.0&quot;m&quot;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&quot;£&quot;0.0&quot;m&quot;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minor"/>
      </font>
      <fill>
        <patternFill patternType="solid">
          <fgColor indexed="64"/>
          <bgColor rgb="FF649B3F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9" formatCode="#,##0&quot;k&quot;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9" formatCode="#,##0&quot;k&quot;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9" formatCode="#,##0&quot;k&quot;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0.0%"/>
      <fill>
        <patternFill patternType="solid">
          <fgColor indexed="64"/>
          <bgColor rgb="FFFFFF9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&quot;£&quot;0.0&quot;m&quot;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&quot;£&quot;0.0&quot;m&quot;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&quot;£&quot;0.0&quot;m&quot;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&quot;£&quot;0.0&quot;m&quot;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21" formatCode="dd\-mmm"/>
      <fill>
        <patternFill patternType="solid">
          <fgColor indexed="64"/>
          <bgColor rgb="FFF2F2F2"/>
        </patternFill>
      </fill>
      <alignment horizontal="left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0904CE37-4DD9-43E7-9288-412C7DD82B55}"/>
  </tableStyles>
  <colors>
    <mruColors>
      <color rgb="FF649B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Monthly Sales Funnel (£m)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Sheet1!$B$41</c:f>
              <c:strCache>
                <c:ptCount val="1"/>
                <c:pt idx="0">
                  <c:v>Gross Sales (£m)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Sheet1!$A$42:$A$53</c:f>
              <c:numCache>
                <c:formatCode>mmm\-yy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Sheet1!$B$42:$B$53</c:f>
              <c:numCache>
                <c:formatCode>"£"0.0"m"</c:formatCode>
                <c:ptCount val="12"/>
                <c:pt idx="0">
                  <c:v>41.2</c:v>
                </c:pt>
                <c:pt idx="1">
                  <c:v>42.8</c:v>
                </c:pt>
                <c:pt idx="2">
                  <c:v>44</c:v>
                </c:pt>
                <c:pt idx="3">
                  <c:v>46.5</c:v>
                </c:pt>
                <c:pt idx="4">
                  <c:v>55</c:v>
                </c:pt>
                <c:pt idx="5">
                  <c:v>68.400000000000006</c:v>
                </c:pt>
                <c:pt idx="6">
                  <c:v>39.5</c:v>
                </c:pt>
                <c:pt idx="7">
                  <c:v>38</c:v>
                </c:pt>
                <c:pt idx="8">
                  <c:v>43.3</c:v>
                </c:pt>
                <c:pt idx="9">
                  <c:v>45.1</c:v>
                </c:pt>
                <c:pt idx="10">
                  <c:v>47.4</c:v>
                </c:pt>
                <c:pt idx="11">
                  <c:v>49.2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3B-4CB5-BACA-134EF2CB425A}"/>
            </c:ext>
          </c:extLst>
        </c:ser>
        <c:ser>
          <c:idx val="1"/>
          <c:order val="1"/>
          <c:tx>
            <c:strRef>
              <c:f>Sheet1!$C$41</c:f>
              <c:strCache>
                <c:ptCount val="1"/>
                <c:pt idx="0">
                  <c:v>Discount (£m)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Sheet1!$A$42:$A$53</c:f>
              <c:numCache>
                <c:formatCode>mmm\-yy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Sheet1!$C$42:$C$53</c:f>
              <c:numCache>
                <c:formatCode>"£"0.0"m"</c:formatCode>
                <c:ptCount val="12"/>
                <c:pt idx="0">
                  <c:v>3.1</c:v>
                </c:pt>
                <c:pt idx="1">
                  <c:v>3.4</c:v>
                </c:pt>
                <c:pt idx="2">
                  <c:v>3.8</c:v>
                </c:pt>
                <c:pt idx="3">
                  <c:v>4.4000000000000004</c:v>
                </c:pt>
                <c:pt idx="4">
                  <c:v>7.2</c:v>
                </c:pt>
                <c:pt idx="5">
                  <c:v>9.8000000000000007</c:v>
                </c:pt>
                <c:pt idx="6">
                  <c:v>2.8</c:v>
                </c:pt>
                <c:pt idx="7">
                  <c:v>2.5</c:v>
                </c:pt>
                <c:pt idx="8">
                  <c:v>3.5</c:v>
                </c:pt>
                <c:pt idx="9">
                  <c:v>3.7</c:v>
                </c:pt>
                <c:pt idx="10">
                  <c:v>4</c:v>
                </c:pt>
                <c:pt idx="11">
                  <c:v>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3B-4CB5-BACA-134EF2CB425A}"/>
            </c:ext>
          </c:extLst>
        </c:ser>
        <c:ser>
          <c:idx val="2"/>
          <c:order val="2"/>
          <c:tx>
            <c:strRef>
              <c:f>Sheet1!$D$41</c:f>
              <c:strCache>
                <c:ptCount val="1"/>
                <c:pt idx="0">
                  <c:v>Net Sales (£m)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10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rgbClr val="649B3F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649B3F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7B3B-4CB5-BACA-134EF2CB425A}"/>
              </c:ext>
            </c:extLst>
          </c:dPt>
          <c:cat>
            <c:numRef>
              <c:f>Sheet1!$A$42:$A$53</c:f>
              <c:numCache>
                <c:formatCode>mmm\-yy</c:formatCode>
                <c:ptCount val="12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</c:numCache>
            </c:numRef>
          </c:cat>
          <c:val>
            <c:numRef>
              <c:f>Sheet1!$D$42:$D$53</c:f>
              <c:numCache>
                <c:formatCode>"£"0.0"m"</c:formatCode>
                <c:ptCount val="12"/>
                <c:pt idx="0">
                  <c:v>38.1</c:v>
                </c:pt>
                <c:pt idx="1">
                  <c:v>39.4</c:v>
                </c:pt>
                <c:pt idx="2">
                  <c:v>40.200000000000003</c:v>
                </c:pt>
                <c:pt idx="3">
                  <c:v>42.1</c:v>
                </c:pt>
                <c:pt idx="4">
                  <c:v>47.8</c:v>
                </c:pt>
                <c:pt idx="5">
                  <c:v>58.6</c:v>
                </c:pt>
                <c:pt idx="6">
                  <c:v>36.700000000000003</c:v>
                </c:pt>
                <c:pt idx="7">
                  <c:v>35.5</c:v>
                </c:pt>
                <c:pt idx="8">
                  <c:v>39.799999999999997</c:v>
                </c:pt>
                <c:pt idx="9">
                  <c:v>41.4</c:v>
                </c:pt>
                <c:pt idx="10">
                  <c:v>43.4</c:v>
                </c:pt>
                <c:pt idx="11">
                  <c:v>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3B-4CB5-BACA-134EF2CB42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27279951"/>
        <c:axId val="1727267471"/>
      </c:lineChart>
      <c:dateAx>
        <c:axId val="17272799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267471"/>
        <c:crosses val="autoZero"/>
        <c:auto val="1"/>
        <c:lblOffset val="100"/>
        <c:baseTimeUnit val="months"/>
      </c:dateAx>
      <c:valAx>
        <c:axId val="1727267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£m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£&quot;0.0&quot;m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279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Category Sales (£m)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Sheet1!$L$41</c:f>
              <c:strCache>
                <c:ptCount val="1"/>
                <c:pt idx="0">
                  <c:v>Gross Sales (£m)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Sheet1!$K$42:$K$47</c:f>
              <c:strCache>
                <c:ptCount val="6"/>
                <c:pt idx="0">
                  <c:v>Music</c:v>
                </c:pt>
                <c:pt idx="1">
                  <c:v>Shoes</c:v>
                </c:pt>
                <c:pt idx="2">
                  <c:v>Electronics</c:v>
                </c:pt>
                <c:pt idx="3">
                  <c:v>Home</c:v>
                </c:pt>
                <c:pt idx="4">
                  <c:v>Sports</c:v>
                </c:pt>
                <c:pt idx="5">
                  <c:v>Women</c:v>
                </c:pt>
              </c:strCache>
            </c:strRef>
          </c:cat>
          <c:val>
            <c:numRef>
              <c:f>Sheet1!$L$42:$L$47</c:f>
              <c:numCache>
                <c:formatCode>"£"0.0"m"</c:formatCode>
                <c:ptCount val="6"/>
                <c:pt idx="0">
                  <c:v>141.30000000000001</c:v>
                </c:pt>
                <c:pt idx="1">
                  <c:v>99.3</c:v>
                </c:pt>
                <c:pt idx="2">
                  <c:v>127.7</c:v>
                </c:pt>
                <c:pt idx="3">
                  <c:v>83.3</c:v>
                </c:pt>
                <c:pt idx="4">
                  <c:v>66.599999999999994</c:v>
                </c:pt>
                <c:pt idx="5">
                  <c:v>42.2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73-4CB7-9463-4EC5DFB2478F}"/>
            </c:ext>
          </c:extLst>
        </c:ser>
        <c:ser>
          <c:idx val="1"/>
          <c:order val="1"/>
          <c:tx>
            <c:strRef>
              <c:f>Sheet1!$M$41</c:f>
              <c:strCache>
                <c:ptCount val="1"/>
                <c:pt idx="0">
                  <c:v>Discount (£m)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Sheet1!$K$42:$K$47</c:f>
              <c:strCache>
                <c:ptCount val="6"/>
                <c:pt idx="0">
                  <c:v>Music</c:v>
                </c:pt>
                <c:pt idx="1">
                  <c:v>Shoes</c:v>
                </c:pt>
                <c:pt idx="2">
                  <c:v>Electronics</c:v>
                </c:pt>
                <c:pt idx="3">
                  <c:v>Home</c:v>
                </c:pt>
                <c:pt idx="4">
                  <c:v>Sports</c:v>
                </c:pt>
                <c:pt idx="5">
                  <c:v>Women</c:v>
                </c:pt>
              </c:strCache>
            </c:strRef>
          </c:cat>
          <c:val>
            <c:numRef>
              <c:f>Sheet1!$M$42:$M$47</c:f>
              <c:numCache>
                <c:formatCode>"£"0.0"m"</c:formatCode>
                <c:ptCount val="6"/>
                <c:pt idx="0">
                  <c:v>8.9</c:v>
                </c:pt>
                <c:pt idx="1">
                  <c:v>12.6</c:v>
                </c:pt>
                <c:pt idx="2">
                  <c:v>10.9</c:v>
                </c:pt>
                <c:pt idx="3">
                  <c:v>7.8</c:v>
                </c:pt>
                <c:pt idx="4">
                  <c:v>5.8</c:v>
                </c:pt>
                <c:pt idx="5">
                  <c:v>6.4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73-4CB7-9463-4EC5DFB2478F}"/>
            </c:ext>
          </c:extLst>
        </c:ser>
        <c:ser>
          <c:idx val="2"/>
          <c:order val="2"/>
          <c:tx>
            <c:strRef>
              <c:f>Sheet1!$N$41</c:f>
              <c:strCache>
                <c:ptCount val="1"/>
                <c:pt idx="0">
                  <c:v>Net Sales (£m)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chemeClr val="bg1">
                  <a:lumMod val="95000"/>
                </a:schemeClr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0A73-4CB7-9463-4EC5DFB2478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0A73-4CB7-9463-4EC5DFB2478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A73-4CB7-9463-4EC5DFB2478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A73-4CB7-9463-4EC5DFB2478F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solidFill>
                  <a:schemeClr val="bg1">
                    <a:lumMod val="9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0A73-4CB7-9463-4EC5DFB2478F}"/>
              </c:ext>
            </c:extLst>
          </c:dPt>
          <c:cat>
            <c:strRef>
              <c:f>Sheet1!$K$42:$K$47</c:f>
              <c:strCache>
                <c:ptCount val="6"/>
                <c:pt idx="0">
                  <c:v>Music</c:v>
                </c:pt>
                <c:pt idx="1">
                  <c:v>Shoes</c:v>
                </c:pt>
                <c:pt idx="2">
                  <c:v>Electronics</c:v>
                </c:pt>
                <c:pt idx="3">
                  <c:v>Home</c:v>
                </c:pt>
                <c:pt idx="4">
                  <c:v>Sports</c:v>
                </c:pt>
                <c:pt idx="5">
                  <c:v>Women</c:v>
                </c:pt>
              </c:strCache>
            </c:strRef>
          </c:cat>
          <c:val>
            <c:numRef>
              <c:f>Sheet1!$N$42:$N$47</c:f>
              <c:numCache>
                <c:formatCode>"£"0.0"m"</c:formatCode>
                <c:ptCount val="6"/>
                <c:pt idx="0">
                  <c:v>132.4</c:v>
                </c:pt>
                <c:pt idx="1">
                  <c:v>86.7</c:v>
                </c:pt>
                <c:pt idx="2">
                  <c:v>116.8</c:v>
                </c:pt>
                <c:pt idx="3">
                  <c:v>75.5</c:v>
                </c:pt>
                <c:pt idx="4">
                  <c:v>60.8</c:v>
                </c:pt>
                <c:pt idx="5">
                  <c:v>35.799999999999997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73-4CB7-9463-4EC5DFB24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27274191"/>
        <c:axId val="1727274671"/>
      </c:barChart>
      <c:catAx>
        <c:axId val="17272741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274671"/>
        <c:crosses val="autoZero"/>
        <c:auto val="1"/>
        <c:lblAlgn val="ctr"/>
        <c:lblOffset val="100"/>
        <c:noMultiLvlLbl val="0"/>
      </c:catAx>
      <c:valAx>
        <c:axId val="1727274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£m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£&quot;0.0&quot;m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274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Top Product Classes (£m)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Sheet1!$S$64</c:f>
              <c:strCache>
                <c:ptCount val="1"/>
                <c:pt idx="0">
                  <c:v>Net Sales (£m)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Sheet1!$R$65:$R$70</c:f>
              <c:strCache>
                <c:ptCount val="6"/>
                <c:pt idx="0">
                  <c:v>kids</c:v>
                </c:pt>
                <c:pt idx="1">
                  <c:v>classical</c:v>
                </c:pt>
                <c:pt idx="2">
                  <c:v>mens</c:v>
                </c:pt>
                <c:pt idx="3">
                  <c:v>pop</c:v>
                </c:pt>
                <c:pt idx="4">
                  <c:v>shirts</c:v>
                </c:pt>
                <c:pt idx="5">
                  <c:v>fragrances</c:v>
                </c:pt>
              </c:strCache>
            </c:strRef>
          </c:cat>
          <c:val>
            <c:numRef>
              <c:f>Sheet1!$S$65:$S$70</c:f>
              <c:numCache>
                <c:formatCode>"£"0.0"m"</c:formatCode>
                <c:ptCount val="6"/>
                <c:pt idx="0">
                  <c:v>27.2</c:v>
                </c:pt>
                <c:pt idx="1">
                  <c:v>14</c:v>
                </c:pt>
                <c:pt idx="2">
                  <c:v>10.3</c:v>
                </c:pt>
                <c:pt idx="3">
                  <c:v>12.8</c:v>
                </c:pt>
                <c:pt idx="4">
                  <c:v>7.2</c:v>
                </c:pt>
                <c:pt idx="5">
                  <c:v>4.0999999999999996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52-4F54-A62E-8F4C29D6F2B6}"/>
            </c:ext>
          </c:extLst>
        </c:ser>
        <c:ser>
          <c:idx val="1"/>
          <c:order val="1"/>
          <c:tx>
            <c:strRef>
              <c:f>Sheet1!$T$64</c:f>
              <c:strCache>
                <c:ptCount val="1"/>
                <c:pt idx="0">
                  <c:v>Gross Sales (£m)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Sheet1!$R$65:$R$70</c:f>
              <c:strCache>
                <c:ptCount val="6"/>
                <c:pt idx="0">
                  <c:v>kids</c:v>
                </c:pt>
                <c:pt idx="1">
                  <c:v>classical</c:v>
                </c:pt>
                <c:pt idx="2">
                  <c:v>mens</c:v>
                </c:pt>
                <c:pt idx="3">
                  <c:v>pop</c:v>
                </c:pt>
                <c:pt idx="4">
                  <c:v>shirts</c:v>
                </c:pt>
                <c:pt idx="5">
                  <c:v>fragrances</c:v>
                </c:pt>
              </c:strCache>
            </c:strRef>
          </c:cat>
          <c:val>
            <c:numRef>
              <c:f>Sheet1!$T$65:$T$70</c:f>
              <c:numCache>
                <c:formatCode>"£"0.0"m"</c:formatCode>
                <c:ptCount val="6"/>
                <c:pt idx="0">
                  <c:v>0</c:v>
                </c:pt>
                <c:pt idx="1">
                  <c:v>1.6</c:v>
                </c:pt>
                <c:pt idx="2">
                  <c:v>2.4</c:v>
                </c:pt>
                <c:pt idx="3">
                  <c:v>4.5</c:v>
                </c:pt>
                <c:pt idx="4">
                  <c:v>5.0999999999999996</c:v>
                </c:pt>
                <c:pt idx="5">
                  <c:v>1.2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52-4F54-A62E-8F4C29D6F2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27286671"/>
        <c:axId val="1727284751"/>
      </c:barChart>
      <c:catAx>
        <c:axId val="172728667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Product Class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284751"/>
        <c:crosses val="autoZero"/>
        <c:auto val="1"/>
        <c:lblAlgn val="ctr"/>
        <c:lblOffset val="100"/>
        <c:noMultiLvlLbl val="0"/>
      </c:catAx>
      <c:valAx>
        <c:axId val="1727284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£m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£&quot;0.0&quot;m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286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Net Sales by Quarter (£m)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Sheet1!$L$56</c:f>
              <c:strCache>
                <c:ptCount val="1"/>
                <c:pt idx="0">
                  <c:v>Net Sales (£m)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554B-4281-BDBD-ECFA83077DE9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54B-4281-BDBD-ECFA83077DE9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554B-4281-BDBD-ECFA83077DE9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54B-4281-BDBD-ECFA83077DE9}"/>
              </c:ext>
            </c:extLst>
          </c:dPt>
          <c:cat>
            <c:strRef>
              <c:f>Sheet1!$K$57:$K$60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Sheet1!$L$57:$L$60</c:f>
              <c:numCache>
                <c:formatCode>"£"0.0"m"</c:formatCode>
                <c:ptCount val="4"/>
                <c:pt idx="0">
                  <c:v>64</c:v>
                </c:pt>
                <c:pt idx="1">
                  <c:v>127</c:v>
                </c:pt>
                <c:pt idx="2">
                  <c:v>174.5</c:v>
                </c:pt>
                <c:pt idx="3">
                  <c:v>142.5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4B-4281-BDBD-ECFA83077D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27247311"/>
        <c:axId val="1727243471"/>
      </c:barChart>
      <c:catAx>
        <c:axId val="172724731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Quarter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243471"/>
        <c:crosses val="autoZero"/>
        <c:auto val="1"/>
        <c:lblAlgn val="ctr"/>
        <c:lblOffset val="100"/>
        <c:noMultiLvlLbl val="0"/>
      </c:catAx>
      <c:valAx>
        <c:axId val="1727243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£m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£&quot;0.0&quot;m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2473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This:</c:v>
                </c:pt>
              </c:strCache>
            </c:strRef>
          </c:tx>
          <c:spPr>
            <a:solidFill>
              <a:srgbClr val="649B3F"/>
            </a:solidFill>
            <a:ln>
              <a:noFill/>
            </a:ln>
            <a:effectLst/>
          </c:spPr>
          <c:invertIfNegative val="0"/>
          <c:val>
            <c:numRef>
              <c:f>Sheet2!$B$4:$B$7</c:f>
              <c:numCache>
                <c:formatCode>General</c:formatCode>
                <c:ptCount val="4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B0-41EE-8CCD-8EFC81C02AFB}"/>
            </c:ext>
          </c:extLst>
        </c:ser>
        <c:ser>
          <c:idx val="1"/>
          <c:order val="1"/>
          <c:tx>
            <c:strRef>
              <c:f>Sheet2!$C$3</c:f>
              <c:strCache>
                <c:ptCount val="1"/>
                <c:pt idx="0">
                  <c:v>Plus this: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val>
            <c:numRef>
              <c:f>Sheet2!$C$4:$C$7</c:f>
              <c:numCache>
                <c:formatCode>General</c:formatCode>
                <c:ptCount val="4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B0-41EE-8CCD-8EFC81C02A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7253551"/>
        <c:axId val="1727268911"/>
      </c:barChart>
      <c:catAx>
        <c:axId val="17272535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268911"/>
        <c:crosses val="autoZero"/>
        <c:auto val="1"/>
        <c:lblAlgn val="ctr"/>
        <c:lblOffset val="100"/>
        <c:noMultiLvlLbl val="0"/>
      </c:catAx>
      <c:valAx>
        <c:axId val="1727268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253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1</xdr:rowOff>
    </xdr:from>
    <xdr:to>
      <xdr:col>7</xdr:col>
      <xdr:colOff>1039585</xdr:colOff>
      <xdr:row>22</xdr:row>
      <xdr:rowOff>0</xdr:rowOff>
    </xdr:to>
    <xdr:graphicFrame macro="">
      <xdr:nvGraphicFramePr>
        <xdr:cNvPr id="2" name="cht_monthly_sales_funnel">
          <a:extLst>
            <a:ext uri="{FF2B5EF4-FFF2-40B4-BE49-F238E27FC236}">
              <a16:creationId xmlns:a16="http://schemas.microsoft.com/office/drawing/2014/main" id="{8873554D-E4D8-09C4-B98E-2FC51128CB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1039585</xdr:colOff>
      <xdr:row>9</xdr:row>
      <xdr:rowOff>1</xdr:rowOff>
    </xdr:from>
    <xdr:to>
      <xdr:col>15</xdr:col>
      <xdr:colOff>1039584</xdr:colOff>
      <xdr:row>22</xdr:row>
      <xdr:rowOff>0</xdr:rowOff>
    </xdr:to>
    <xdr:graphicFrame macro="">
      <xdr:nvGraphicFramePr>
        <xdr:cNvPr id="3" name="cht_category_performance">
          <a:extLst>
            <a:ext uri="{FF2B5EF4-FFF2-40B4-BE49-F238E27FC236}">
              <a16:creationId xmlns:a16="http://schemas.microsoft.com/office/drawing/2014/main" id="{C7A27C80-3F47-09AB-303C-8B95291DE1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1039585</xdr:colOff>
      <xdr:row>22</xdr:row>
      <xdr:rowOff>1</xdr:rowOff>
    </xdr:from>
    <xdr:to>
      <xdr:col>15</xdr:col>
      <xdr:colOff>1039584</xdr:colOff>
      <xdr:row>35</xdr:row>
      <xdr:rowOff>1</xdr:rowOff>
    </xdr:to>
    <xdr:graphicFrame macro="">
      <xdr:nvGraphicFramePr>
        <xdr:cNvPr id="5" name="cht_promotion_roi">
          <a:extLst>
            <a:ext uri="{FF2B5EF4-FFF2-40B4-BE49-F238E27FC236}">
              <a16:creationId xmlns:a16="http://schemas.microsoft.com/office/drawing/2014/main" id="{B50264DA-C472-6F7A-7567-4EED58FDCC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22</xdr:row>
      <xdr:rowOff>1</xdr:rowOff>
    </xdr:from>
    <xdr:to>
      <xdr:col>7</xdr:col>
      <xdr:colOff>1039585</xdr:colOff>
      <xdr:row>35</xdr:row>
      <xdr:rowOff>1</xdr:rowOff>
    </xdr:to>
    <xdr:graphicFrame macro="">
      <xdr:nvGraphicFramePr>
        <xdr:cNvPr id="6" name="cht_segment_mix">
          <a:extLst>
            <a:ext uri="{FF2B5EF4-FFF2-40B4-BE49-F238E27FC236}">
              <a16:creationId xmlns:a16="http://schemas.microsoft.com/office/drawing/2014/main" id="{343E174D-4DE6-88C4-9A7E-99D6674CB0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97971</xdr:colOff>
      <xdr:row>8</xdr:row>
      <xdr:rowOff>84363</xdr:rowOff>
    </xdr:from>
    <xdr:to>
      <xdr:col>8</xdr:col>
      <xdr:colOff>97971</xdr:colOff>
      <xdr:row>23</xdr:row>
      <xdr:rowOff>51706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D45292-48B0-5A4C-35E2-0E10E50A1D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AA865B-E1AB-4197-8276-2D73FC1567BB}" name="tbl_monthly_mock" displayName="tbl_monthly_mock" ref="A41:I53" totalsRowShown="0" headerRowDxfId="49" dataDxfId="50">
  <autoFilter ref="A41:I53" xr:uid="{26AA865B-E1AB-4197-8276-2D73FC1567BB}"/>
  <tableColumns count="9">
    <tableColumn id="1" xr3:uid="{2BB2BA82-607B-4804-847C-52351C26F5BB}" name="Month" dataDxfId="59"/>
    <tableColumn id="2" xr3:uid="{BBFEC6C6-BC68-46ED-A381-291779ED50A4}" name="Gross Sales (£m)" dataDxfId="58"/>
    <tableColumn id="3" xr3:uid="{2E95DF08-0261-4692-876E-8142B6FFE3E3}" name="Discount (£m)" dataDxfId="57"/>
    <tableColumn id="4" xr3:uid="{BE2A3553-3D25-4AFF-A866-9A0A3C150B34}" name="Net Sales (£m)" dataDxfId="56"/>
    <tableColumn id="5" xr3:uid="{68FCCE48-FC5C-4573-BA3E-1DE3CD6E0D08}" name="Avg Ticket (£)" dataDxfId="55"/>
    <tableColumn id="6" xr3:uid="{36EDF0C2-D3B2-4662-98AC-E75E445486F2}" name="Net Margin %" dataDxfId="54">
      <calculatedColumnFormula>IFERROR(E42/D42,0)</calculatedColumnFormula>
    </tableColumn>
    <tableColumn id="7" xr3:uid="{2DEDBEE3-D6CA-4111-9DA5-2485E785D965}" name="Quantity (000s)" dataDxfId="53"/>
    <tableColumn id="8" xr3:uid="{E3B4E6D6-2B75-4C76-96EE-D9947CE907E9}" name="Orders (000s)" dataDxfId="52"/>
    <tableColumn id="9" xr3:uid="{91BB93C5-FFDC-4DCA-B955-AC2DDF8DEE21}" name="Customers (000s)" dataDxfId="51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87954C1-F9F7-4688-958B-1C6829056A48}" name="tbl_category_mock" displayName="tbl_category_mock" ref="K41:T47" totalsRowShown="0" headerRowDxfId="37" dataDxfId="38">
  <autoFilter ref="K41:T47" xr:uid="{487954C1-F9F7-4688-958B-1C6829056A48}"/>
  <tableColumns count="10">
    <tableColumn id="1" xr3:uid="{BCE8BCFB-FA4F-446D-B270-EA095D41EFB1}" name="Category" dataDxfId="48"/>
    <tableColumn id="2" xr3:uid="{AF038D6C-03F6-4353-AB9C-E014643D7946}" name="Gross Sales (£m)" dataDxfId="47"/>
    <tableColumn id="3" xr3:uid="{8B72AA9D-95E1-4E71-810D-D128722BAF9F}" name="Discount (£m)" dataDxfId="46"/>
    <tableColumn id="4" xr3:uid="{74C5587F-2A77-4028-8918-AAFFDB3E7DE1}" name="Net Sales (£m)" dataDxfId="45"/>
    <tableColumn id="5" xr3:uid="{D6874251-A5A7-4B20-8DA7-0CB22CEF6E3A}" name="Discount %" dataDxfId="44"/>
    <tableColumn id="6" xr3:uid="{88B006C6-DAEC-4A7E-9D76-3715609B56FF}" name="Quantity (000s)" dataDxfId="43"/>
    <tableColumn id="7" xr3:uid="{3DC644E0-88E6-4C42-B9F3-086976A0252A}" name="Orders (000s)" dataDxfId="42"/>
    <tableColumn id="8" xr3:uid="{F4FE98F8-B327-44AB-8D38-A9553884E282}" name="Customers (000s)" dataDxfId="41"/>
    <tableColumn id="9" xr3:uid="{97B53F08-D2F3-4D31-9E3C-CC0233A3DE75}" name="Net Margin %" dataDxfId="40">
      <calculatedColumnFormula>IFERROR(O42/N42,0)</calculatedColumnFormula>
    </tableColumn>
    <tableColumn id="10" xr3:uid="{AD5334F3-D24E-4378-B33C-FB21E4C96DB0}" name="Avg Ticket (£)" dataDxfId="39">
      <calculatedColumnFormula>IFERROR(N42/Q42*1000,0)</calculatedColumnFormula>
    </tableColumn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8AF475-C66D-4C8A-B5B0-A43FD9F78A4B}" name="tbl_region_mock" displayName="tbl_region_mock" ref="A56:H60" totalsRowShown="0" headerRowDxfId="27" dataDxfId="28">
  <autoFilter ref="A56:H60" xr:uid="{088AF475-C66D-4C8A-B5B0-A43FD9F78A4B}"/>
  <tableColumns count="8">
    <tableColumn id="1" xr3:uid="{326029DB-EA69-40D7-BC99-6D08E01419FA}" name="Quarter" dataDxfId="36"/>
    <tableColumn id="2" xr3:uid="{4E6D469C-780D-48C1-8DF8-FC755063272E}" name="Gross Sales (£m)" dataDxfId="35"/>
    <tableColumn id="3" xr3:uid="{E71B67F9-7C1C-4808-B4CC-B0AA37F9A319}" name="Net Sales (£m)" dataDxfId="34"/>
    <tableColumn id="4" xr3:uid="{1D9D9339-0C82-4458-8910-7BE5EF4FAAEB}" name="Avg Ticket (£)" dataDxfId="33"/>
    <tableColumn id="5" xr3:uid="{C6BD93B8-83AD-4C7A-B11D-C8AC99279D75}" name="Discount (£m)" dataDxfId="32"/>
    <tableColumn id="6" xr3:uid="{5AC210E4-24A5-465E-BA69-C815D8B17FCA}" name="Net Margin %" dataDxfId="31">
      <calculatedColumnFormula>IFERROR(D57/C57,0)</calculatedColumnFormula>
    </tableColumn>
    <tableColumn id="7" xr3:uid="{090D3675-BED3-48EB-9660-AE2A60FBAD11}" name="Orders (000s)" dataDxfId="30"/>
    <tableColumn id="8" xr3:uid="{CA953F46-F297-4112-8FF0-572DC2A3CB1B}" name="Customers (000s)" dataDxfId="29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5EB99D-AB2B-408A-B02A-7795A32487FC}" name="tbl_segment_mock" displayName="tbl_segment_mock" ref="K56:Q60" totalsRowShown="0" headerRowDxfId="18" dataDxfId="19">
  <autoFilter ref="K56:Q60" xr:uid="{575EB99D-AB2B-408A-B02A-7795A32487FC}"/>
  <tableColumns count="7">
    <tableColumn id="1" xr3:uid="{45837B68-1DB0-4E92-BD91-031FB27DAE0F}" name="Quarter" dataDxfId="26"/>
    <tableColumn id="2" xr3:uid="{32E6DDDC-636B-40DA-9D7A-473164BD77AD}" name="Net Sales (£m)" dataDxfId="25"/>
    <tableColumn id="3" xr3:uid="{A6D08C1B-98CE-4E83-A568-B0F04E2A7035}" name="Gross Sales (£m)" dataDxfId="24"/>
    <tableColumn id="4" xr3:uid="{E149B7D4-7AA3-4645-928A-65DA6929D2D8}" name="Customers (000s)" dataDxfId="23"/>
    <tableColumn id="5" xr3:uid="{BC071127-7940-41EA-AC7B-7AF68CB06539}" name="Orders (000s)" dataDxfId="22"/>
    <tableColumn id="6" xr3:uid="{CDBD31A1-16C3-41DD-B98E-8A5C01B667D7}" name="Revenue / Customer (£)" dataDxfId="21">
      <calculatedColumnFormula>IFERROR(L57/N57*1000,0)</calculatedColumnFormula>
    </tableColumn>
    <tableColumn id="7" xr3:uid="{F56D6011-9532-41DB-9A4F-203080CDB338}" name="Avg Ticket (£)" dataDxfId="20">
      <calculatedColumnFormula>IFERROR(L57/O57*1000,0)</calculatedColumnFormula>
    </tableColumn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E3C8386-7549-462C-9B58-DDA9A0DDE155}" name="tbl_promo_mock" displayName="tbl_promo_mock" ref="A64:H70" totalsRowShown="0" headerRowDxfId="8" dataDxfId="9">
  <autoFilter ref="A64:H70" xr:uid="{EE3C8386-7549-462C-9B58-DDA9A0DDE155}"/>
  <tableColumns count="8">
    <tableColumn id="1" xr3:uid="{F779CE18-ECB2-462F-B638-9003124FE7C5}" name="Product Class" dataDxfId="17"/>
    <tableColumn id="2" xr3:uid="{61BD5816-72F1-4F74-8644-5653E233EEF8}" name="Net Sales (£m)" dataDxfId="16"/>
    <tableColumn id="3" xr3:uid="{9A33CA4C-979A-4FFA-9B7F-829A29848D3D}" name="Gross Sales (£m)" dataDxfId="15"/>
    <tableColumn id="4" xr3:uid="{94F7C129-3B6D-47E1-9EAC-33B4C592A9AA}" name="Discount (£m)" dataDxfId="14"/>
    <tableColumn id="5" xr3:uid="{41A3A17E-0807-4FD1-92A0-3636A463323D}" name="Orders (000s)" dataDxfId="13"/>
    <tableColumn id="6" xr3:uid="{83649FD6-56B2-407F-BDF7-5C435A2BC718}" name="Quantity (000s)" dataDxfId="12"/>
    <tableColumn id="7" xr3:uid="{8B5E4B4D-8DCA-411D-9167-E29EF7A667CE}" name="Avg Ticket (£)" dataDxfId="11"/>
    <tableColumn id="8" xr3:uid="{FC1E23DE-8ECD-48B6-AD5E-BA33D5892ACC}" name="Net Margin %" dataDxfId="10">
      <calculatedColumnFormula>IF(C65=0,0,G65/C65)</calculatedColumnFormula>
    </tableColumn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E146ACC-75D7-4EAC-A165-886BB048445D}" name="tbl_model_map" displayName="tbl_model_map" ref="K64:P70" totalsRowShown="0" headerRowDxfId="0" dataDxfId="1">
  <autoFilter ref="K64:P70" xr:uid="{8E146ACC-75D7-4EAC-A165-886BB048445D}"/>
  <tableColumns count="6">
    <tableColumn id="1" xr3:uid="{7A8B457F-2150-4114-BAC7-4584E21263A2}" name="Table" dataDxfId="7"/>
    <tableColumn id="2" xr3:uid="{DC7BDAC3-6934-4F9B-A38A-C1B839BCF141}" name="Type" dataDxfId="6"/>
    <tableColumn id="3" xr3:uid="{14C6B701-07EC-4FAB-90B0-BD3BC78E62D8}" name="Primary Key" dataDxfId="5"/>
    <tableColumn id="4" xr3:uid="{9C9D5233-58C6-4955-9109-D4CB5E2FC51A}" name="Join Path" dataDxfId="4"/>
    <tableColumn id="5" xr3:uid="{DCF42674-F4A1-4FE7-8D08-A6692FBCB88F}" name="Dashboard Use" dataDxfId="3"/>
    <tableColumn id="6" xr3:uid="{3D95F40A-2883-4D14-99A1-6F8FA6248D50}" name="Notes" dataDxfId="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3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9172BF8-90CB-431C-A29C-4144992804DB}">
  <we:reference id="wa200010215" version="2.0.0.0" store="en-US" storeType="OMEX"/>
  <we:alternateReferences>
    <we:reference id="WA200010215" version="2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D8914-44A0-43A8-BE63-7D2B80198727}">
  <dimension ref="A1:Z116"/>
  <sheetViews>
    <sheetView showGridLines="0" tabSelected="1" topLeftCell="A38" zoomScale="90" zoomScaleNormal="90" workbookViewId="0">
      <selection activeCell="K51" sqref="K51"/>
    </sheetView>
  </sheetViews>
  <sheetFormatPr defaultRowHeight="14.6" x14ac:dyDescent="0.4"/>
  <cols>
    <col min="1" max="1" width="16" customWidth="1"/>
    <col min="2" max="2" width="16.23046875" customWidth="1"/>
    <col min="3" max="3" width="16.61328125" customWidth="1"/>
    <col min="4" max="5" width="15.07421875" customWidth="1"/>
    <col min="6" max="6" width="19.53515625" customWidth="1"/>
    <col min="7" max="7" width="15.4609375" customWidth="1"/>
    <col min="8" max="8" width="18.69140625" customWidth="1"/>
    <col min="9" max="9" width="16.921875" customWidth="1"/>
    <col min="10" max="10" width="14.69140625" customWidth="1"/>
    <col min="11" max="11" width="18.3828125" customWidth="1"/>
    <col min="12" max="12" width="16.23046875" customWidth="1"/>
    <col min="13" max="13" width="15.07421875" customWidth="1"/>
    <col min="14" max="14" width="16.921875" customWidth="1"/>
    <col min="15" max="15" width="15.23046875" customWidth="1"/>
    <col min="16" max="16" width="22.3828125" customWidth="1"/>
    <col min="17" max="17" width="14" customWidth="1"/>
    <col min="18" max="18" width="16.921875" customWidth="1"/>
    <col min="19" max="20" width="14" customWidth="1"/>
  </cols>
  <sheetData>
    <row r="1" spans="1:26" ht="28" customHeight="1" x14ac:dyDescent="0.4">
      <c r="A1" s="31" t="s">
        <v>106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7" t="s">
        <v>5</v>
      </c>
      <c r="N1" s="32" t="inlineStr">
        <is>
          <t xml:space="preserve">Source: Tessallite live model - tpcds_retail (SF1)</t>
        </is>
      </c>
      <c r="O1" s="8"/>
      <c r="P1" s="8"/>
      <c r="Q1" s="9"/>
      <c r="R1" s="9"/>
      <c r="S1" s="9"/>
      <c r="T1" s="9"/>
      <c r="U1" s="6"/>
      <c r="V1" s="6"/>
      <c r="W1" s="6"/>
      <c r="X1" s="6"/>
      <c r="Y1" s="6"/>
      <c r="Z1" s="6"/>
    </row>
    <row r="2" spans="1:26" x14ac:dyDescent="0.4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9"/>
      <c r="R2" s="9"/>
      <c r="S2" s="9"/>
      <c r="T2" s="9"/>
      <c r="U2" s="6"/>
      <c r="V2" s="6"/>
      <c r="W2" s="6"/>
      <c r="X2" s="6"/>
      <c r="Y2" s="6"/>
      <c r="Z2" s="6"/>
    </row>
    <row r="3" spans="1:26" ht="24" customHeight="1" x14ac:dyDescent="0.4">
      <c r="A3" s="30" t="s">
        <v>83</v>
      </c>
      <c r="B3" s="30"/>
      <c r="C3" s="11"/>
      <c r="D3" s="11"/>
      <c r="E3" s="30" t="inlineStr">
        <is>
          <t xml:space="preserve">GROSS SALES</t>
        </is>
      </c>
      <c r="F3" s="30"/>
      <c r="G3" s="11"/>
      <c r="H3" s="11"/>
      <c r="I3" s="30" t="inlineStr">
        <is>
          <t xml:space="preserve">UNITS SOLD</t>
        </is>
      </c>
      <c r="J3" s="30"/>
      <c r="K3" s="11"/>
      <c r="L3" s="11"/>
      <c r="M3" s="30" t="s">
        <v>89</v>
      </c>
      <c r="N3" s="30"/>
      <c r="O3" s="11"/>
      <c r="P3" s="11"/>
      <c r="Q3" s="9"/>
      <c r="R3" s="9"/>
      <c r="S3" s="9"/>
      <c r="T3" s="9"/>
      <c r="U3" s="6"/>
      <c r="V3" s="6"/>
      <c r="W3" s="6"/>
      <c r="X3" s="6"/>
      <c r="Y3" s="6"/>
      <c r="Z3" s="6"/>
    </row>
    <row r="4" spans="1:26" ht="24" customHeight="1" x14ac:dyDescent="0.4">
      <c r="A4" s="33">
        <v>4741.58995376</v>
      </c>
      <c r="B4" s="11"/>
      <c r="C4" s="11"/>
      <c r="D4" s="11"/>
      <c r="E4" s="33">
        <v>10523.714887979999</v>
      </c>
      <c r="F4" s="11"/>
      <c r="G4" s="11"/>
      <c r="H4" s="11"/>
      <c r="I4" s="34">
        <v>138.943711</v>
      </c>
      <c r="J4" s="11"/>
      <c r="K4" s="11"/>
      <c r="L4" s="11"/>
      <c r="M4" s="28">
        <v>19756.624807333334</v>
      </c>
      <c r="N4" s="11"/>
      <c r="O4" s="11"/>
      <c r="P4" s="11"/>
      <c r="Q4" s="9"/>
      <c r="R4" s="9"/>
      <c r="S4" s="9"/>
      <c r="T4" s="9"/>
      <c r="U4" s="6"/>
      <c r="V4" s="6"/>
      <c r="W4" s="6"/>
      <c r="X4" s="6"/>
      <c r="Y4" s="6"/>
      <c r="Z4" s="6"/>
    </row>
    <row r="5" spans="1:26" ht="24" customHeight="1" x14ac:dyDescent="0.4">
      <c r="A5" s="23" t="s">
        <v>84</v>
      </c>
      <c r="B5" s="24"/>
      <c r="C5" s="24"/>
      <c r="D5" s="24"/>
      <c r="E5" s="23" t="s">
        <v>86</v>
      </c>
      <c r="F5" s="24"/>
      <c r="G5" s="24"/>
      <c r="H5" s="24"/>
      <c r="I5" s="23" t="s">
        <v>88</v>
      </c>
      <c r="J5" s="24"/>
      <c r="K5" s="24"/>
      <c r="L5" s="24"/>
      <c r="M5" s="23" t="s">
        <v>90</v>
      </c>
      <c r="N5" s="11"/>
      <c r="O5" s="11"/>
      <c r="P5" s="11"/>
      <c r="Q5" s="9"/>
      <c r="R5" s="9"/>
      <c r="S5" s="9"/>
      <c r="T5" s="9"/>
      <c r="U5" s="6"/>
      <c r="V5" s="6"/>
      <c r="W5" s="6"/>
      <c r="X5" s="6"/>
      <c r="Y5" s="6"/>
      <c r="Z5" s="6"/>
    </row>
    <row r="6" spans="1:26" ht="24" customHeight="1" x14ac:dyDescent="0.4">
      <c r="A6" s="30" t="s">
        <v>91</v>
      </c>
      <c r="B6" s="30"/>
      <c r="C6" s="29"/>
      <c r="D6" s="29"/>
      <c r="E6" s="30" t="s">
        <v>93</v>
      </c>
      <c r="F6" s="30"/>
      <c r="G6" s="29"/>
      <c r="H6" s="29"/>
      <c r="I6" s="30" t="s">
        <v>95</v>
      </c>
      <c r="J6" s="30"/>
      <c r="K6" s="29"/>
      <c r="L6" s="29"/>
      <c r="M6" s="30" t="s">
        <v>97</v>
      </c>
      <c r="N6" s="30"/>
      <c r="O6" s="11"/>
      <c r="P6" s="11"/>
      <c r="Q6" s="9"/>
      <c r="R6" s="9"/>
      <c r="S6" s="9"/>
      <c r="T6" s="9"/>
      <c r="U6" s="6"/>
      <c r="V6" s="6"/>
      <c r="W6" s="6"/>
      <c r="X6" s="6"/>
      <c r="Y6" s="6"/>
      <c r="Z6" s="6"/>
    </row>
    <row r="7" spans="1:26" ht="24" customHeight="1" x14ac:dyDescent="0.4">
      <c r="A7" s="26">
        <v>240.0</v>
      </c>
      <c r="B7" s="11"/>
      <c r="C7" s="11"/>
      <c r="D7" s="11"/>
      <c r="E7" s="26">
        <v>90.858</v>
      </c>
      <c r="F7" s="11"/>
      <c r="G7" s="11"/>
      <c r="H7" s="11"/>
      <c r="I7" s="28">
        <v>52186.81848334764</v>
      </c>
      <c r="J7" s="11"/>
      <c r="K7" s="11"/>
      <c r="L7" s="11"/>
      <c r="M7" s="27">
        <v>0.050006338919450985</v>
      </c>
      <c r="N7" s="11"/>
      <c r="O7" s="11"/>
      <c r="P7" s="11"/>
      <c r="Q7" s="9"/>
      <c r="R7" s="9"/>
      <c r="S7" s="9"/>
      <c r="T7" s="9"/>
      <c r="U7" s="6"/>
      <c r="V7" s="6"/>
      <c r="W7" s="6"/>
      <c r="X7" s="6"/>
      <c r="Y7" s="6"/>
      <c r="Z7" s="6"/>
    </row>
    <row r="8" spans="1:26" ht="24" customHeight="1" x14ac:dyDescent="0.4">
      <c r="A8" s="23" t="s">
        <v>92</v>
      </c>
      <c r="B8" s="24"/>
      <c r="C8" s="24"/>
      <c r="D8" s="24"/>
      <c r="E8" s="23" t="s">
        <v>94</v>
      </c>
      <c r="F8" s="24"/>
      <c r="G8" s="24"/>
      <c r="H8" s="24"/>
      <c r="I8" s="23" t="s">
        <v>96</v>
      </c>
      <c r="J8" s="24"/>
      <c r="K8" s="24"/>
      <c r="L8" s="24"/>
      <c r="M8" s="23" t="s">
        <v>98</v>
      </c>
      <c r="N8" s="11"/>
      <c r="O8" s="11"/>
      <c r="P8" s="11"/>
      <c r="Q8" s="9"/>
      <c r="R8" s="9"/>
      <c r="S8" s="9"/>
      <c r="T8" s="9"/>
      <c r="U8" s="6"/>
      <c r="V8" s="6"/>
      <c r="W8" s="6"/>
      <c r="X8" s="6"/>
      <c r="Y8" s="6"/>
      <c r="Z8" s="6"/>
    </row>
    <row r="9" spans="1:26" x14ac:dyDescent="0.4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9"/>
      <c r="R9" s="9"/>
      <c r="S9" s="9"/>
      <c r="T9" s="9"/>
      <c r="U9" s="6"/>
      <c r="V9" s="6"/>
      <c r="W9" s="6"/>
      <c r="X9" s="6"/>
      <c r="Y9" s="6"/>
      <c r="Z9" s="6"/>
    </row>
    <row r="10" spans="1:26" x14ac:dyDescent="0.4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9"/>
      <c r="R10" s="9"/>
      <c r="S10" s="9"/>
      <c r="T10" s="9"/>
      <c r="U10" s="6"/>
      <c r="V10" s="6"/>
      <c r="W10" s="6"/>
      <c r="X10" s="6"/>
      <c r="Y10" s="6"/>
      <c r="Z10" s="6"/>
    </row>
    <row r="11" spans="1:26" x14ac:dyDescent="0.4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9"/>
      <c r="R11" s="9"/>
      <c r="S11" s="9"/>
      <c r="T11" s="9"/>
      <c r="U11" s="6"/>
      <c r="V11" s="6"/>
      <c r="W11" s="6"/>
      <c r="X11" s="6"/>
      <c r="Y11" s="6"/>
      <c r="Z11" s="6"/>
    </row>
    <row r="12" spans="1:26" x14ac:dyDescent="0.4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9"/>
      <c r="R12" s="9"/>
      <c r="S12" s="9"/>
      <c r="T12" s="9"/>
      <c r="U12" s="6"/>
      <c r="V12" s="6"/>
      <c r="W12" s="6"/>
      <c r="X12" s="6"/>
      <c r="Y12" s="6"/>
      <c r="Z12" s="6"/>
    </row>
    <row r="13" spans="1:26" x14ac:dyDescent="0.4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9"/>
      <c r="R13" s="9"/>
      <c r="S13" s="9"/>
      <c r="T13" s="9"/>
      <c r="U13" s="6"/>
      <c r="V13" s="6"/>
      <c r="W13" s="6"/>
      <c r="X13" s="6"/>
      <c r="Y13" s="6"/>
      <c r="Z13" s="6"/>
    </row>
    <row r="14" spans="1:26" x14ac:dyDescent="0.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9"/>
      <c r="R14" s="9"/>
      <c r="S14" s="9"/>
      <c r="T14" s="9"/>
      <c r="U14" s="6"/>
      <c r="V14" s="6"/>
      <c r="W14" s="6"/>
      <c r="X14" s="6"/>
      <c r="Y14" s="6"/>
      <c r="Z14" s="6"/>
    </row>
    <row r="15" spans="1:26" x14ac:dyDescent="0.4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9"/>
      <c r="R15" s="9"/>
      <c r="S15" s="9"/>
      <c r="T15" s="9"/>
      <c r="U15" s="6"/>
      <c r="V15" s="6"/>
      <c r="W15" s="6"/>
      <c r="X15" s="6"/>
      <c r="Y15" s="6"/>
      <c r="Z15" s="6"/>
    </row>
    <row r="16" spans="1:26" x14ac:dyDescent="0.4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9"/>
      <c r="R16" s="9"/>
      <c r="S16" s="9"/>
      <c r="T16" s="9"/>
      <c r="U16" s="6"/>
      <c r="V16" s="6"/>
      <c r="W16" s="6"/>
      <c r="X16" s="6"/>
      <c r="Y16" s="6"/>
      <c r="Z16" s="6"/>
    </row>
    <row r="17" spans="1:26" x14ac:dyDescent="0.4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9"/>
      <c r="R17" s="9"/>
      <c r="S17" s="9"/>
      <c r="T17" s="9"/>
      <c r="U17" s="6"/>
      <c r="V17" s="6"/>
      <c r="W17" s="6"/>
      <c r="X17" s="6"/>
      <c r="Y17" s="6"/>
      <c r="Z17" s="6"/>
    </row>
    <row r="18" spans="1:26" x14ac:dyDescent="0.4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9"/>
      <c r="R18" s="9"/>
      <c r="S18" s="9"/>
      <c r="T18" s="9"/>
      <c r="U18" s="6"/>
      <c r="V18" s="6"/>
      <c r="W18" s="6"/>
      <c r="X18" s="6"/>
      <c r="Y18" s="6"/>
      <c r="Z18" s="6"/>
    </row>
    <row r="19" spans="1:26" x14ac:dyDescent="0.4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9"/>
      <c r="R19" s="9"/>
      <c r="S19" s="9"/>
      <c r="T19" s="9"/>
      <c r="U19" s="6"/>
      <c r="V19" s="6"/>
      <c r="W19" s="6"/>
      <c r="X19" s="6"/>
      <c r="Y19" s="6"/>
      <c r="Z19" s="6"/>
    </row>
    <row r="20" spans="1:26" x14ac:dyDescent="0.4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9"/>
      <c r="R20" s="9"/>
      <c r="S20" s="9"/>
      <c r="T20" s="9"/>
      <c r="U20" s="6"/>
      <c r="V20" s="6"/>
      <c r="W20" s="6"/>
      <c r="X20" s="6"/>
      <c r="Y20" s="6"/>
      <c r="Z20" s="6"/>
    </row>
    <row r="21" spans="1:26" x14ac:dyDescent="0.4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9"/>
      <c r="R21" s="9"/>
      <c r="S21" s="9"/>
      <c r="T21" s="9"/>
      <c r="U21" s="6"/>
      <c r="V21" s="6"/>
      <c r="W21" s="6"/>
      <c r="X21" s="6"/>
      <c r="Y21" s="6"/>
      <c r="Z21" s="6"/>
    </row>
    <row r="22" spans="1:26" x14ac:dyDescent="0.4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9"/>
      <c r="R22" s="9"/>
      <c r="S22" s="9"/>
      <c r="T22" s="9"/>
      <c r="U22" s="6"/>
      <c r="V22" s="6"/>
      <c r="W22" s="6"/>
      <c r="X22" s="6"/>
      <c r="Y22" s="6"/>
      <c r="Z22" s="6"/>
    </row>
    <row r="23" spans="1:26" x14ac:dyDescent="0.4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9"/>
      <c r="R23" s="9"/>
      <c r="S23" s="9"/>
      <c r="T23" s="9"/>
      <c r="U23" s="6"/>
      <c r="V23" s="6"/>
      <c r="W23" s="6"/>
      <c r="X23" s="6"/>
      <c r="Y23" s="6"/>
      <c r="Z23" s="6"/>
    </row>
    <row r="24" spans="1:26" x14ac:dyDescent="0.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9"/>
      <c r="R24" s="9"/>
      <c r="S24" s="9"/>
      <c r="T24" s="9"/>
      <c r="U24" s="6"/>
      <c r="V24" s="6"/>
      <c r="W24" s="6"/>
      <c r="X24" s="6"/>
      <c r="Y24" s="6"/>
      <c r="Z24" s="6"/>
    </row>
    <row r="25" spans="1:26" x14ac:dyDescent="0.4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9"/>
      <c r="R25" s="9"/>
      <c r="S25" s="9"/>
      <c r="T25" s="9"/>
      <c r="U25" s="6"/>
      <c r="V25" s="6"/>
      <c r="W25" s="6"/>
      <c r="X25" s="6"/>
      <c r="Y25" s="6"/>
      <c r="Z25" s="6"/>
    </row>
    <row r="26" spans="1:26" x14ac:dyDescent="0.4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9"/>
      <c r="R26" s="9"/>
      <c r="S26" s="9"/>
      <c r="T26" s="9"/>
      <c r="U26" s="6"/>
      <c r="V26" s="6"/>
      <c r="W26" s="6"/>
      <c r="X26" s="6"/>
      <c r="Y26" s="6"/>
      <c r="Z26" s="6"/>
    </row>
    <row r="27" spans="1:26" x14ac:dyDescent="0.4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9"/>
      <c r="R27" s="9"/>
      <c r="S27" s="9"/>
      <c r="T27" s="9"/>
      <c r="U27" s="6"/>
      <c r="V27" s="6"/>
      <c r="W27" s="6"/>
      <c r="X27" s="6"/>
      <c r="Y27" s="6"/>
      <c r="Z27" s="6"/>
    </row>
    <row r="28" spans="1:26" x14ac:dyDescent="0.4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9"/>
      <c r="R28" s="9"/>
      <c r="S28" s="9"/>
      <c r="T28" s="9"/>
      <c r="U28" s="6"/>
      <c r="V28" s="6"/>
      <c r="W28" s="6"/>
      <c r="X28" s="6"/>
      <c r="Y28" s="6"/>
      <c r="Z28" s="6"/>
    </row>
    <row r="29" spans="1:26" x14ac:dyDescent="0.4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9"/>
      <c r="R29" s="9"/>
      <c r="S29" s="9"/>
      <c r="T29" s="9"/>
      <c r="U29" s="6"/>
      <c r="V29" s="6"/>
      <c r="W29" s="6"/>
      <c r="X29" s="6"/>
      <c r="Y29" s="6"/>
      <c r="Z29" s="6"/>
    </row>
    <row r="30" spans="1:26" x14ac:dyDescent="0.4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9"/>
      <c r="R30" s="9"/>
      <c r="S30" s="9"/>
      <c r="T30" s="9"/>
      <c r="U30" s="6"/>
      <c r="V30" s="6"/>
      <c r="W30" s="6"/>
      <c r="X30" s="6"/>
      <c r="Y30" s="6"/>
      <c r="Z30" s="6"/>
    </row>
    <row r="31" spans="1:26" x14ac:dyDescent="0.4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9"/>
      <c r="R31" s="9"/>
      <c r="S31" s="9"/>
      <c r="T31" s="9"/>
      <c r="U31" s="6"/>
      <c r="V31" s="6"/>
      <c r="W31" s="6"/>
      <c r="X31" s="6"/>
      <c r="Y31" s="6"/>
      <c r="Z31" s="6"/>
    </row>
    <row r="32" spans="1:26" x14ac:dyDescent="0.4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9"/>
      <c r="R32" s="9"/>
      <c r="S32" s="9"/>
      <c r="T32" s="9"/>
      <c r="U32" s="6"/>
      <c r="V32" s="6"/>
      <c r="W32" s="6"/>
      <c r="X32" s="6"/>
      <c r="Y32" s="6"/>
      <c r="Z32" s="6"/>
    </row>
    <row r="33" spans="1:26" x14ac:dyDescent="0.4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9"/>
      <c r="R33" s="9"/>
      <c r="S33" s="9"/>
      <c r="T33" s="9"/>
      <c r="U33" s="6"/>
      <c r="V33" s="6"/>
      <c r="W33" s="6"/>
      <c r="X33" s="6"/>
      <c r="Y33" s="6"/>
      <c r="Z33" s="6"/>
    </row>
    <row r="34" spans="1:26" x14ac:dyDescent="0.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9"/>
      <c r="R34" s="9"/>
      <c r="S34" s="9"/>
      <c r="T34" s="9"/>
      <c r="U34" s="6"/>
      <c r="V34" s="6"/>
      <c r="W34" s="6"/>
      <c r="X34" s="6"/>
      <c r="Y34" s="6"/>
      <c r="Z34" s="6"/>
    </row>
    <row r="35" spans="1:26" x14ac:dyDescent="0.4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9"/>
      <c r="R35" s="9"/>
      <c r="S35" s="9"/>
      <c r="T35" s="9"/>
      <c r="U35" s="6"/>
      <c r="V35" s="6"/>
      <c r="W35" s="6"/>
      <c r="X35" s="6"/>
      <c r="Y35" s="6"/>
      <c r="Z35" s="6"/>
    </row>
    <row r="36" spans="1:26" ht="28" customHeight="1" x14ac:dyDescent="0.4">
      <c r="A36" s="8" t="s">
        <v>99</v>
      </c>
      <c r="B36" s="8"/>
      <c r="C36" s="8"/>
      <c r="D36" s="8"/>
      <c r="E36" s="8"/>
      <c r="F36" s="8"/>
      <c r="G36" s="8"/>
      <c r="H36" s="8"/>
      <c r="I36" s="8" t="s">
        <v>100</v>
      </c>
      <c r="J36" s="8"/>
      <c r="K36" s="8"/>
      <c r="L36" s="8"/>
      <c r="M36" s="8"/>
      <c r="N36" s="8"/>
      <c r="O36" s="8"/>
      <c r="P36" s="8"/>
      <c r="Q36" s="9"/>
      <c r="R36" s="9"/>
      <c r="S36" s="9"/>
      <c r="T36" s="9"/>
      <c r="U36" s="6"/>
      <c r="V36" s="6"/>
      <c r="W36" s="6"/>
      <c r="X36" s="6"/>
      <c r="Y36" s="6"/>
      <c r="Z36" s="6"/>
    </row>
    <row r="37" spans="1:26" ht="28" customHeight="1" x14ac:dyDescent="0.4">
      <c r="A37" s="12" t="s">
        <v>101</v>
      </c>
      <c r="B37" s="12"/>
      <c r="C37" s="12"/>
      <c r="D37" s="12"/>
      <c r="E37" s="12"/>
      <c r="F37" s="12"/>
      <c r="G37" s="12"/>
      <c r="H37" s="12"/>
      <c r="I37" s="11" t="s">
        <v>102</v>
      </c>
      <c r="J37" s="13" t="str">
        <f>IF(ABS(SUM(D42:D53)-SUM(N42:N47))&lt;0.01,"PASS","FAIL")</f>
        <v>PASS</v>
      </c>
      <c r="K37" s="11"/>
      <c r="L37" s="11"/>
      <c r="M37" s="11"/>
      <c r="N37" s="11"/>
      <c r="O37" s="11"/>
      <c r="P37" s="11"/>
      <c r="Q37" s="9"/>
      <c r="R37" s="9"/>
      <c r="S37" s="9"/>
      <c r="T37" s="9"/>
      <c r="U37" s="6"/>
      <c r="V37" s="6"/>
      <c r="W37" s="6"/>
      <c r="X37" s="6"/>
      <c r="Y37" s="6"/>
      <c r="Z37" s="6"/>
    </row>
    <row r="38" spans="1:26" ht="28" customHeight="1" x14ac:dyDescent="0.4">
      <c r="A38" s="12" t="s">
        <v>103</v>
      </c>
      <c r="B38" s="12"/>
      <c r="C38" s="12"/>
      <c r="D38" s="12"/>
      <c r="E38" s="12"/>
      <c r="F38" s="12"/>
      <c r="G38" s="12"/>
      <c r="H38" s="12"/>
      <c r="I38" s="11" t="s">
        <v>104</v>
      </c>
      <c r="J38" s="13" t="str">
        <f>IF(ABS(SUM(D42:D53)-SUM(B65:B70))&lt;0.01,"PASS","FAIL")</f>
        <v>PASS</v>
      </c>
      <c r="K38" s="11"/>
      <c r="L38" s="11"/>
      <c r="M38" s="11"/>
      <c r="N38" s="11"/>
      <c r="O38" s="11"/>
      <c r="P38" s="11"/>
      <c r="Q38" s="9"/>
      <c r="R38" s="9"/>
      <c r="S38" s="9"/>
      <c r="T38" s="9"/>
      <c r="U38" s="6"/>
      <c r="V38" s="6"/>
      <c r="W38" s="6"/>
      <c r="X38" s="6"/>
      <c r="Y38" s="6"/>
      <c r="Z38" s="6"/>
    </row>
    <row r="39" spans="1:26" x14ac:dyDescent="0.4">
      <c r="A39" s="14" t="s">
        <v>6</v>
      </c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9"/>
      <c r="R39" s="9"/>
      <c r="S39" s="9"/>
      <c r="T39" s="9"/>
      <c r="U39" s="6"/>
      <c r="V39" s="6"/>
      <c r="W39" s="6"/>
      <c r="X39" s="6"/>
      <c r="Y39" s="6"/>
      <c r="Z39" s="6"/>
    </row>
    <row r="40" spans="1:26" x14ac:dyDescent="0.4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6"/>
      <c r="V40" s="6"/>
      <c r="W40" s="6"/>
      <c r="X40" s="6"/>
      <c r="Y40" s="6"/>
      <c r="Z40" s="6"/>
    </row>
    <row r="41" spans="1:26" x14ac:dyDescent="0.4">
      <c r="A41" s="14" t="s">
        <v>7</v>
      </c>
      <c r="B41" s="14" t="s">
        <v>8</v>
      </c>
      <c r="C41" s="14" t="s">
        <v>9</v>
      </c>
      <c r="D41" s="14" t="s">
        <v>10</v>
      </c>
      <c r="E41" s="14" t="inlineStr">
        <is>
          <t xml:space="preserve">Avg Ticket (£)</t>
        </is>
      </c>
      <c r="F41" s="14" t="inlineStr">
        <is>
          <t xml:space="preserve">Net Margin %</t>
        </is>
      </c>
      <c r="G41" s="14" t="s">
        <v>13</v>
      </c>
      <c r="H41" s="14" t="s">
        <v>14</v>
      </c>
      <c r="I41" s="14" t="s">
        <v>15</v>
      </c>
      <c r="J41" s="9"/>
      <c r="K41" s="14" t="s">
        <v>16</v>
      </c>
      <c r="L41" s="14" t="s">
        <v>8</v>
      </c>
      <c r="M41" s="14" t="s">
        <v>9</v>
      </c>
      <c r="N41" s="14" t="s">
        <v>10</v>
      </c>
      <c r="O41" s="14" t="inlineStr">
        <is>
          <t xml:space="preserve">Discount %</t>
        </is>
      </c>
      <c r="P41" s="14" t="s">
        <v>13</v>
      </c>
      <c r="Q41" s="14" t="s">
        <v>14</v>
      </c>
      <c r="R41" s="14" t="s">
        <v>15</v>
      </c>
      <c r="S41" s="14" t="inlineStr">
        <is>
          <t xml:space="preserve">Net Margin %</t>
        </is>
      </c>
      <c r="T41" s="14" t="s">
        <v>17</v>
      </c>
      <c r="U41" s="6"/>
      <c r="V41" s="6"/>
      <c r="W41" s="6"/>
      <c r="X41" s="6"/>
      <c r="Y41" s="6"/>
      <c r="Z41" s="6"/>
    </row>
    <row r="42" spans="1:26" x14ac:dyDescent="0.4">
      <c r="A42" s="22">
        <v>45839</v>
      </c>
      <c r="B42" s="15">
        <v>595.66958074</v>
      </c>
      <c r="C42" s="15">
        <v>29.6211205</v>
      </c>
      <c r="D42" s="15">
        <v>268.26190071</v>
      </c>
      <c r="E42" s="35">
        <v>19266.152018816432</v>
      </c>
      <c r="F42" s="16">
        <v>0.450353533878192</v>
      </c>
      <c r="G42" s="17">
        <v>7878.432</v>
      </c>
      <c r="H42" s="17">
        <v>13.924</v>
      </c>
      <c r="I42" s="17">
        <v>12.972</v>
      </c>
      <c r="J42" s="9"/>
      <c r="K42" s="18" t="inlineStr">
        <is>
          <t xml:space="preserve">Music</t>
        </is>
      </c>
      <c r="L42" s="15">
        <v>1095.5044178199998</v>
      </c>
      <c r="M42" s="15">
        <v>54.96702681</v>
      </c>
      <c r="N42" s="15">
        <v>493.22240496</v>
      </c>
      <c r="O42" s="36">
        <v>0.05017508456915371</v>
      </c>
      <c r="P42" s="17">
        <v>14460.313</v>
      </c>
      <c r="Q42" s="17">
        <v>172.625</v>
      </c>
      <c r="R42" s="17">
        <v>81.312</v>
      </c>
      <c r="S42" s="16">
        <v>0.4502240218633608</v>
      </c>
      <c r="T42" s="19">
        <v>2857.1898911513395</v>
      </c>
      <c r="U42" s="6"/>
      <c r="V42" s="6"/>
      <c r="W42" s="6"/>
      <c r="X42" s="6"/>
      <c r="Y42" s="6"/>
      <c r="Z42" s="6"/>
    </row>
    <row r="43" spans="1:26" x14ac:dyDescent="0.4">
      <c r="A43" s="22">
        <v>45870</v>
      </c>
      <c r="B43" s="15">
        <v>461.52280542</v>
      </c>
      <c r="C43" s="15">
        <v>23.10344645</v>
      </c>
      <c r="D43" s="15">
        <v>208.35180419999998</v>
      </c>
      <c r="E43" s="35">
        <v>19414.070462169213</v>
      </c>
      <c r="F43" s="16">
        <v>0.45144422280583385</v>
      </c>
      <c r="G43" s="17">
        <v>6067.392</v>
      </c>
      <c r="H43" s="17">
        <v>10.732</v>
      </c>
      <c r="I43" s="17">
        <v>10.158</v>
      </c>
      <c r="J43" s="9"/>
      <c r="K43" s="18" t="inlineStr">
        <is>
          <t xml:space="preserve">Shoes</t>
        </is>
      </c>
      <c r="L43" s="15">
        <v>1076.8924708299999</v>
      </c>
      <c r="M43" s="15">
        <v>53.72115678</v>
      </c>
      <c r="N43" s="15">
        <v>484.97085910000004</v>
      </c>
      <c r="O43" s="36">
        <v>0.04988534903451889</v>
      </c>
      <c r="P43" s="17">
        <v>14223.62</v>
      </c>
      <c r="Q43" s="17">
        <v>169.097</v>
      </c>
      <c r="R43" s="17">
        <v>80.844</v>
      </c>
      <c r="S43" s="16">
        <v>0.4503428821692991</v>
      </c>
      <c r="T43" s="19">
        <v>2868.0039214178846</v>
      </c>
      <c r="U43" s="6"/>
      <c r="V43" s="6"/>
      <c r="W43" s="6"/>
      <c r="X43" s="6"/>
      <c r="Y43" s="6"/>
      <c r="Z43" s="6"/>
    </row>
    <row r="44" spans="1:26" x14ac:dyDescent="0.4">
      <c r="A44" s="22">
        <v>45901</v>
      </c>
      <c r="B44" s="15">
        <v>489.38317745999996</v>
      </c>
      <c r="C44" s="15">
        <v>24.88407609</v>
      </c>
      <c r="D44" s="15">
        <v>220.44191883000002</v>
      </c>
      <c r="E44" s="35">
        <v>19165.529371413668</v>
      </c>
      <c r="F44" s="16">
        <v>0.45044850126262864</v>
      </c>
      <c r="G44" s="17">
        <v>6459.291</v>
      </c>
      <c r="H44" s="17">
        <v>11.502</v>
      </c>
      <c r="I44" s="17">
        <v>10.858</v>
      </c>
      <c r="J44" s="9"/>
      <c r="K44" s="18" t="inlineStr">
        <is>
          <t xml:space="preserve">Electronics</t>
        </is>
      </c>
      <c r="L44" s="15">
        <v>1053.81033308</v>
      </c>
      <c r="M44" s="15">
        <v>53.129058619999995</v>
      </c>
      <c r="N44" s="15">
        <v>473.76157277</v>
      </c>
      <c r="O44" s="36">
        <v>0.050416148857373846</v>
      </c>
      <c r="P44" s="17">
        <v>13925.227</v>
      </c>
      <c r="Q44" s="17">
        <v>170.698</v>
      </c>
      <c r="R44" s="17">
        <v>81.121</v>
      </c>
      <c r="S44" s="16">
        <v>0.4495700581956946</v>
      </c>
      <c r="T44" s="19">
        <v>2775.43716253266</v>
      </c>
      <c r="U44" s="6"/>
      <c r="V44" s="6"/>
      <c r="W44" s="6"/>
      <c r="X44" s="6"/>
      <c r="Y44" s="6"/>
      <c r="Z44" s="6"/>
    </row>
    <row r="45" spans="1:26" x14ac:dyDescent="0.4">
      <c r="A45" s="22">
        <v>45931</v>
      </c>
      <c r="B45" s="15">
        <v>480.99182952999996</v>
      </c>
      <c r="C45" s="15">
        <v>23.662050739999998</v>
      </c>
      <c r="D45" s="15">
        <v>216.59398877</v>
      </c>
      <c r="E45" s="35">
        <v>19249.376890330608</v>
      </c>
      <c r="F45" s="16">
        <v>0.45030700205790253</v>
      </c>
      <c r="G45" s="17">
        <v>6345.29</v>
      </c>
      <c r="H45" s="17">
        <v>11.252</v>
      </c>
      <c r="I45" s="17">
        <v>10.645</v>
      </c>
      <c r="J45" s="9"/>
      <c r="K45" s="18" t="inlineStr">
        <is>
          <t xml:space="preserve">Home</t>
        </is>
      </c>
      <c r="L45" s="15">
        <v>1044.63293181</v>
      </c>
      <c r="M45" s="15">
        <v>52.084940350000004</v>
      </c>
      <c r="N45" s="15">
        <v>471.40500377</v>
      </c>
      <c r="O45" s="36">
        <v>0.04985956192263075</v>
      </c>
      <c r="P45" s="17">
        <v>13778.077</v>
      </c>
      <c r="Q45" s="17">
        <v>171.447</v>
      </c>
      <c r="R45" s="17">
        <v>81.3</v>
      </c>
      <c r="S45" s="16">
        <v>0.451263778323753</v>
      </c>
      <c r="T45" s="19">
        <v>2749.5669435452355</v>
      </c>
      <c r="U45" s="6"/>
      <c r="V45" s="6"/>
      <c r="W45" s="6"/>
      <c r="X45" s="6"/>
      <c r="Y45" s="6"/>
      <c r="Z45" s="6"/>
    </row>
    <row r="46" spans="1:26" x14ac:dyDescent="0.4">
      <c r="A46" s="22">
        <v>45962</v>
      </c>
      <c r="B46" s="15">
        <v>502.49803781</v>
      </c>
      <c r="C46" s="15">
        <v>24.905955940000002</v>
      </c>
      <c r="D46" s="15">
        <v>227.43173893</v>
      </c>
      <c r="E46" s="35">
        <v>19369.080133708056</v>
      </c>
      <c r="F46" s="16">
        <v>0.4526022428290445</v>
      </c>
      <c r="G46" s="17">
        <v>6629.061</v>
      </c>
      <c r="H46" s="17">
        <v>11.742</v>
      </c>
      <c r="I46" s="17">
        <v>11.051</v>
      </c>
      <c r="J46" s="9"/>
      <c r="K46" s="18" t="inlineStr">
        <is>
          <t xml:space="preserve">Sports</t>
        </is>
      </c>
      <c r="L46" s="15">
        <v>1045.14633379</v>
      </c>
      <c r="M46" s="15">
        <v>52.077654700000004</v>
      </c>
      <c r="N46" s="15">
        <v>471.38732566000004</v>
      </c>
      <c r="O46" s="36">
        <v>0.04982809872293338</v>
      </c>
      <c r="P46" s="17">
        <v>13777.957</v>
      </c>
      <c r="Q46" s="17">
        <v>169.954</v>
      </c>
      <c r="R46" s="17">
        <v>80.946</v>
      </c>
      <c r="S46" s="16">
        <v>0.451025191803156</v>
      </c>
      <c r="T46" s="19">
        <v>2773.6171296939174</v>
      </c>
      <c r="U46" s="6"/>
      <c r="V46" s="6"/>
      <c r="W46" s="6"/>
      <c r="X46" s="6"/>
      <c r="Y46" s="6"/>
      <c r="Z46" s="6"/>
    </row>
    <row r="47" spans="1:26" x14ac:dyDescent="0.4">
      <c r="A47" s="22">
        <v>45992</v>
      </c>
      <c r="B47" s="15">
        <v>490.38664859</v>
      </c>
      <c r="C47" s="15">
        <v>24.392116530000003</v>
      </c>
      <c r="D47" s="15">
        <v>221.29748599</v>
      </c>
      <c r="E47" s="35">
        <v>19405.25131445107</v>
      </c>
      <c r="F47" s="16">
        <v>0.4512714337274327</v>
      </c>
      <c r="G47" s="17">
        <v>6465.666</v>
      </c>
      <c r="H47" s="17">
        <v>11.404</v>
      </c>
      <c r="I47" s="17">
        <v>10.802</v>
      </c>
      <c r="J47" s="9"/>
      <c r="K47" s="18" t="inlineStr">
        <is>
          <t xml:space="preserve">Women</t>
        </is>
      </c>
      <c r="L47" s="15">
        <v>1044.6236175</v>
      </c>
      <c r="M47" s="15">
        <v>52.558074590000004</v>
      </c>
      <c r="N47" s="15">
        <v>470.92282014999995</v>
      </c>
      <c r="O47" s="36">
        <v>0.05031292966148164</v>
      </c>
      <c r="P47" s="17">
        <v>13815.755</v>
      </c>
      <c r="Q47" s="17">
        <v>168.549</v>
      </c>
      <c r="R47" s="17">
        <v>80.577</v>
      </c>
      <c r="S47" s="16">
        <v>0.45080621600056825</v>
      </c>
      <c r="T47" s="19">
        <v>2793.981691674231</v>
      </c>
      <c r="U47" s="6"/>
      <c r="V47" s="6"/>
      <c r="W47" s="6"/>
      <c r="X47" s="6"/>
      <c r="Y47" s="6"/>
      <c r="Z47" s="6"/>
    </row>
    <row r="48" spans="1:26" x14ac:dyDescent="0.4">
      <c r="A48" s="22">
        <v>46023</v>
      </c>
      <c r="B48" s="15">
        <v>495.25625833</v>
      </c>
      <c r="C48" s="15">
        <v>25.565285109999998</v>
      </c>
      <c r="D48" s="15">
        <v>223.21292663999998</v>
      </c>
      <c r="E48" s="35">
        <v>19255.773519668735</v>
      </c>
      <c r="F48" s="16">
        <v>0.45070187985644466</v>
      </c>
      <c r="G48" s="17">
        <v>6557.029</v>
      </c>
      <c r="H48" s="17">
        <v>11.592</v>
      </c>
      <c r="I48" s="17">
        <v>10.94</v>
      </c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6"/>
      <c r="V48" s="6"/>
      <c r="W48" s="6"/>
      <c r="X48" s="6"/>
      <c r="Y48" s="6"/>
      <c r="Z48" s="6"/>
    </row>
    <row r="49" spans="1:26" x14ac:dyDescent="0.4">
      <c r="A49" s="22">
        <v>46054</v>
      </c>
      <c r="B49" s="15">
        <v>1102.97541061</v>
      </c>
      <c r="C49" s="15">
        <v>54.915039390000004</v>
      </c>
      <c r="D49" s="15">
        <v>497.32819161000003</v>
      </c>
      <c r="E49" s="35">
        <v>19357.31712634283</v>
      </c>
      <c r="F49" s="16">
        <v>0.450896898358734</v>
      </c>
      <c r="G49" s="17">
        <v>14552.456</v>
      </c>
      <c r="H49" s="17">
        <v>25.692</v>
      </c>
      <c r="I49" s="17">
        <v>22.737</v>
      </c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6"/>
      <c r="V49" s="6"/>
      <c r="W49" s="6"/>
      <c r="X49" s="6"/>
      <c r="Y49" s="6"/>
      <c r="Z49" s="6"/>
    </row>
    <row r="50" spans="1:26" x14ac:dyDescent="0.4">
      <c r="A50" s="22">
        <v>46082</v>
      </c>
      <c r="B50" s="15">
        <v>1120.9913151199999</v>
      </c>
      <c r="C50" s="15">
        <v>56.63229375</v>
      </c>
      <c r="D50" s="15">
        <v>504.60467519</v>
      </c>
      <c r="E50" s="35">
        <v>19277.379094972493</v>
      </c>
      <c r="F50" s="16">
        <v>0.45014146709600783</v>
      </c>
      <c r="G50" s="17">
        <v>14803.487</v>
      </c>
      <c r="H50" s="17">
        <v>26.176</v>
      </c>
      <c r="I50" s="17">
        <v>23.018</v>
      </c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6"/>
      <c r="V50" s="6"/>
      <c r="W50" s="6"/>
      <c r="X50" s="6"/>
      <c r="Y50" s="6"/>
      <c r="Z50" s="6"/>
    </row>
    <row r="51" spans="1:26" x14ac:dyDescent="0.4">
      <c r="A51" s="22">
        <v>46113</v>
      </c>
      <c r="B51" s="15">
        <v>1152.11346194</v>
      </c>
      <c r="C51" s="15">
        <v>57.84847664</v>
      </c>
      <c r="D51" s="15">
        <v>519.01210737</v>
      </c>
      <c r="E51" s="35">
        <v>19269.05911899016</v>
      </c>
      <c r="F51" s="16">
        <v>0.4504869741701093</v>
      </c>
      <c r="G51" s="17">
        <v>15213.438</v>
      </c>
      <c r="H51" s="17">
        <v>26.935</v>
      </c>
      <c r="I51" s="17">
        <v>23.564</v>
      </c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6"/>
      <c r="V51" s="6"/>
      <c r="W51" s="6"/>
      <c r="X51" s="6"/>
      <c r="Y51" s="6"/>
      <c r="Z51" s="6"/>
    </row>
    <row r="52" spans="1:26" x14ac:dyDescent="0.4">
      <c r="A52" s="22">
        <v>46143</v>
      </c>
      <c r="B52" s="15">
        <v>1636.36280862</v>
      </c>
      <c r="C52" s="15">
        <v>81.11746149</v>
      </c>
      <c r="D52" s="15">
        <v>737.46247786</v>
      </c>
      <c r="E52" s="35">
        <v>19311.872570770156</v>
      </c>
      <c r="F52" s="16">
        <v>0.4506717422170741</v>
      </c>
      <c r="G52" s="17">
        <v>21621.007</v>
      </c>
      <c r="H52" s="17">
        <v>38.187</v>
      </c>
      <c r="I52" s="17">
        <v>31.73</v>
      </c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6"/>
      <c r="V52" s="6"/>
      <c r="W52" s="6"/>
      <c r="X52" s="6"/>
      <c r="Y52" s="6"/>
      <c r="Z52" s="6"/>
    </row>
    <row r="53" spans="1:26" x14ac:dyDescent="0.4">
      <c r="A53" s="22">
        <v>46174</v>
      </c>
      <c r="B53" s="15">
        <v>1745.41460371</v>
      </c>
      <c r="C53" s="15">
        <v>87.14882564</v>
      </c>
      <c r="D53" s="15">
        <v>784.94696876</v>
      </c>
      <c r="E53" s="35">
        <v>19209.705074641475</v>
      </c>
      <c r="F53" s="16">
        <v>0.4497194919141507</v>
      </c>
      <c r="G53" s="17">
        <v>23060.347</v>
      </c>
      <c r="H53" s="17">
        <v>40.862</v>
      </c>
      <c r="I53" s="17">
        <v>33.507</v>
      </c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6"/>
      <c r="V53" s="6"/>
      <c r="W53" s="6"/>
      <c r="X53" s="6"/>
      <c r="Y53" s="6"/>
      <c r="Z53" s="6"/>
    </row>
    <row r="54" spans="1:26" x14ac:dyDescent="0.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6"/>
      <c r="V54" s="6"/>
      <c r="W54" s="6"/>
      <c r="X54" s="6"/>
      <c r="Y54" s="6"/>
      <c r="Z54" s="6"/>
    </row>
    <row r="55" spans="1:26" x14ac:dyDescent="0.4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6"/>
      <c r="V55" s="6"/>
      <c r="W55" s="6"/>
      <c r="X55" s="6"/>
      <c r="Y55" s="6"/>
      <c r="Z55" s="6"/>
    </row>
    <row r="56" spans="1:26" x14ac:dyDescent="0.4">
      <c r="A56" s="14" t="inlineStr">
        <is>
          <t xml:space="preserve">Quarter</t>
        </is>
      </c>
      <c r="B56" s="14" t="s">
        <v>8</v>
      </c>
      <c r="C56" s="14" t="s">
        <v>10</v>
      </c>
      <c r="D56" s="14" t="inlineStr">
        <is>
          <t xml:space="preserve">Avg Ticket (£)</t>
        </is>
      </c>
      <c r="E56" s="14" t="s">
        <v>9</v>
      </c>
      <c r="F56" s="14" t="inlineStr">
        <is>
          <t xml:space="preserve">Net Margin %</t>
        </is>
      </c>
      <c r="G56" s="14" t="s">
        <v>14</v>
      </c>
      <c r="H56" s="14" t="s">
        <v>15</v>
      </c>
      <c r="I56" s="9"/>
      <c r="J56" s="9"/>
      <c r="K56" s="14" t="inlineStr">
        <is>
          <t xml:space="preserve">Quarter</t>
        </is>
      </c>
      <c r="L56" s="14" t="s">
        <v>10</v>
      </c>
      <c r="M56" s="14" t="inlineStr">
        <is>
          <t xml:space="preserve">Gross Sales (£m)</t>
        </is>
      </c>
      <c r="N56" s="14" t="s">
        <v>15</v>
      </c>
      <c r="O56" s="14" t="s">
        <v>14</v>
      </c>
      <c r="P56" s="14" t="s">
        <v>30</v>
      </c>
      <c r="Q56" s="14" t="s">
        <v>17</v>
      </c>
      <c r="R56" s="9"/>
      <c r="S56" s="9"/>
      <c r="T56" s="9"/>
      <c r="U56" s="6"/>
      <c r="V56" s="6"/>
      <c r="W56" s="6"/>
      <c r="X56" s="6"/>
      <c r="Y56" s="6"/>
      <c r="Z56" s="6"/>
    </row>
    <row r="57" spans="1:26" x14ac:dyDescent="0.4">
      <c r="A57" s="18" t="inlineStr">
        <is>
          <t xml:space="preserve">Q1</t>
        </is>
      </c>
      <c r="B57" s="15">
        <v>1559.5447574000002</v>
      </c>
      <c r="C57" s="15">
        <v>703.04287472</v>
      </c>
      <c r="D57" s="35">
        <v>19283.63801415327</v>
      </c>
      <c r="E57" s="15">
        <v>78.20393245</v>
      </c>
      <c r="F57" s="16">
        <v>0.45080006289276375</v>
      </c>
      <c r="G57" s="17">
        <v>36.458</v>
      </c>
      <c r="H57" s="17">
        <v>30.47</v>
      </c>
      <c r="I57" s="9"/>
      <c r="J57" s="9"/>
      <c r="K57" s="18" t="inlineStr">
        <is>
          <t xml:space="preserve">Q1</t>
        </is>
      </c>
      <c r="L57" s="15">
        <v>703.04287472</v>
      </c>
      <c r="M57" s="15">
        <v>1559.5447574000002</v>
      </c>
      <c r="N57" s="17">
        <v>30.47</v>
      </c>
      <c r="O57" s="17">
        <v>36.458</v>
      </c>
      <c r="P57" s="20">
        <v>23073.281086970794</v>
      </c>
      <c r="Q57" s="20">
        <v>19283.63801415327</v>
      </c>
      <c r="R57" s="9"/>
      <c r="S57" s="9"/>
      <c r="T57" s="9"/>
      <c r="U57" s="6"/>
      <c r="V57" s="6"/>
      <c r="W57" s="6"/>
      <c r="X57" s="6"/>
      <c r="Y57" s="6"/>
      <c r="Z57" s="6"/>
    </row>
    <row r="58" spans="1:26" x14ac:dyDescent="0.4">
      <c r="A58" s="18" t="inlineStr">
        <is>
          <t xml:space="preserve">Q2</t>
        </is>
      </c>
      <c r="B58" s="15">
        <v>1473.98730497</v>
      </c>
      <c r="C58" s="15">
        <v>665.3178694400001</v>
      </c>
      <c r="D58" s="35">
        <v>19336.700945737786</v>
      </c>
      <c r="E58" s="15">
        <v>73.02207121</v>
      </c>
      <c r="F58" s="16">
        <v>0.4513728627082994</v>
      </c>
      <c r="G58" s="17">
        <v>34.407</v>
      </c>
      <c r="H58" s="17">
        <v>29.149</v>
      </c>
      <c r="I58" s="9"/>
      <c r="J58" s="9"/>
      <c r="K58" s="18" t="inlineStr">
        <is>
          <t xml:space="preserve">Q2</t>
        </is>
      </c>
      <c r="L58" s="15">
        <v>665.3178694400001</v>
      </c>
      <c r="M58" s="15">
        <v>1473.98730497</v>
      </c>
      <c r="N58" s="17">
        <v>29.149</v>
      </c>
      <c r="O58" s="17">
        <v>34.407</v>
      </c>
      <c r="P58" s="20">
        <v>22824.723641977427</v>
      </c>
      <c r="Q58" s="20">
        <v>19336.700945737786</v>
      </c>
      <c r="R58" s="9"/>
      <c r="S58" s="9"/>
      <c r="T58" s="9"/>
      <c r="U58" s="6"/>
      <c r="V58" s="6"/>
      <c r="W58" s="6"/>
      <c r="X58" s="6"/>
      <c r="Y58" s="6"/>
      <c r="Z58" s="6"/>
    </row>
    <row r="59" spans="1:26" x14ac:dyDescent="0.4">
      <c r="A59" s="18" t="inlineStr">
        <is>
          <t xml:space="preserve">Q3</t>
        </is>
      </c>
      <c r="B59" s="15">
        <v>2736.5611565900003</v>
      </c>
      <c r="C59" s="15">
        <v>1232.86572516</v>
      </c>
      <c r="D59" s="35">
        <v>19304.549122510336</v>
      </c>
      <c r="E59" s="15">
        <v>137.98256290999998</v>
      </c>
      <c r="F59" s="16">
        <v>0.45051641626612177</v>
      </c>
      <c r="G59" s="17">
        <v>63.864</v>
      </c>
      <c r="H59" s="17">
        <v>47.267</v>
      </c>
      <c r="I59" s="9"/>
      <c r="J59" s="9"/>
      <c r="K59" s="18" t="inlineStr">
        <is>
          <t xml:space="preserve">Q3</t>
        </is>
      </c>
      <c r="L59" s="15">
        <v>1232.86572516</v>
      </c>
      <c r="M59" s="15">
        <v>2736.5611565900003</v>
      </c>
      <c r="N59" s="17">
        <v>47.267</v>
      </c>
      <c r="O59" s="17">
        <v>63.864</v>
      </c>
      <c r="P59" s="20">
        <v>26083.01193559989</v>
      </c>
      <c r="Q59" s="20">
        <v>19304.549122510336</v>
      </c>
      <c r="R59" s="9"/>
      <c r="S59" s="9"/>
      <c r="T59" s="9"/>
      <c r="U59" s="6"/>
      <c r="V59" s="6"/>
      <c r="W59" s="6"/>
      <c r="X59" s="6"/>
      <c r="Y59" s="6"/>
      <c r="Z59" s="6"/>
    </row>
    <row r="60" spans="1:26" x14ac:dyDescent="0.4">
      <c r="A60" s="18" t="inlineStr">
        <is>
          <t xml:space="preserve">Q4</t>
        </is>
      </c>
      <c r="B60" s="15">
        <v>4503.47271892</v>
      </c>
      <c r="C60" s="15">
        <v>2027.71971554</v>
      </c>
      <c r="D60" s="35">
        <v>19261.9022859097</v>
      </c>
      <c r="E60" s="15">
        <v>224.5875817</v>
      </c>
      <c r="F60" s="16">
        <v>0.4502569110768983</v>
      </c>
      <c r="G60" s="17">
        <v>105.271</v>
      </c>
      <c r="H60" s="17">
        <v>64.967</v>
      </c>
      <c r="I60" s="9"/>
      <c r="J60" s="9"/>
      <c r="K60" s="18" t="inlineStr">
        <is>
          <t xml:space="preserve">Q4</t>
        </is>
      </c>
      <c r="L60" s="15">
        <v>2027.71971554</v>
      </c>
      <c r="M60" s="15">
        <v>4503.47271892</v>
      </c>
      <c r="N60" s="17">
        <v>64.967</v>
      </c>
      <c r="O60" s="17">
        <v>105.271</v>
      </c>
      <c r="P60" s="20">
        <v>31211.533786999553</v>
      </c>
      <c r="Q60" s="20">
        <v>19261.9022859097</v>
      </c>
      <c r="R60" s="9"/>
      <c r="S60" s="9"/>
      <c r="T60" s="9"/>
      <c r="U60" s="6"/>
      <c r="V60" s="6"/>
      <c r="W60" s="6"/>
      <c r="X60" s="6"/>
      <c r="Y60" s="6"/>
      <c r="Z60" s="6"/>
    </row>
    <row r="61" spans="1:26" x14ac:dyDescent="0.4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6"/>
      <c r="V61" s="6"/>
      <c r="W61" s="6"/>
      <c r="X61" s="6"/>
      <c r="Y61" s="6"/>
      <c r="Z61" s="6"/>
    </row>
    <row r="62" spans="1:26" x14ac:dyDescent="0.4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6"/>
      <c r="V62" s="6"/>
      <c r="W62" s="6"/>
      <c r="X62" s="6"/>
      <c r="Y62" s="6"/>
      <c r="Z62" s="6"/>
    </row>
    <row r="63" spans="1:26" x14ac:dyDescent="0.4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6"/>
      <c r="V63" s="6"/>
      <c r="W63" s="6"/>
      <c r="X63" s="6"/>
      <c r="Y63" s="6"/>
      <c r="Z63" s="6"/>
    </row>
    <row r="64" spans="1:26" x14ac:dyDescent="0.4">
      <c r="A64" s="14" t="inlineStr">
        <is>
          <t xml:space="preserve">Product Class</t>
        </is>
      </c>
      <c r="B64" s="14" t="s">
        <v>10</v>
      </c>
      <c r="C64" s="14" t="inlineStr">
        <is>
          <t xml:space="preserve">Gross Sales (£m)</t>
        </is>
      </c>
      <c r="D64" s="14" t="s">
        <v>9</v>
      </c>
      <c r="E64" s="14" t="s">
        <v>14</v>
      </c>
      <c r="F64" s="14" t="inlineStr">
        <is>
          <t xml:space="preserve">Quantity (000s)</t>
        </is>
      </c>
      <c r="G64" s="14" t="inlineStr">
        <is>
          <t xml:space="preserve">Avg Ticket (£)</t>
        </is>
      </c>
      <c r="H64" s="14" t="inlineStr">
        <is>
          <t xml:space="preserve">Net Margin %</t>
        </is>
      </c>
      <c r="I64" s="9"/>
      <c r="J64" s="9"/>
      <c r="K64" s="8" t="s">
        <v>45</v>
      </c>
      <c r="L64" s="8" t="s">
        <v>46</v>
      </c>
      <c r="M64" s="8" t="s">
        <v>47</v>
      </c>
      <c r="N64" s="8" t="s">
        <v>48</v>
      </c>
      <c r="O64" s="8" t="s">
        <v>49</v>
      </c>
      <c r="P64" s="8" t="s">
        <v>50</v>
      </c>
      <c r="Q64" s="9"/>
      <c r="R64" s="14" t="inlineStr">
        <is>
          <t xml:space="preserve">Product Class</t>
        </is>
      </c>
      <c r="S64" s="14" t="inlineStr">
        <is>
          <t xml:space="preserve">Net Sales (£m)</t>
        </is>
      </c>
      <c r="T64" s="14" t="inlineStr">
        <is>
          <t xml:space="preserve">Gross Sales (£m)</t>
        </is>
      </c>
      <c r="U64" s="6"/>
      <c r="V64" s="6"/>
      <c r="W64" s="6"/>
      <c r="X64" s="6"/>
      <c r="Y64" s="6"/>
      <c r="Z64" s="6"/>
    </row>
    <row r="65" spans="1:26" ht="43.75" x14ac:dyDescent="0.4">
      <c r="A65" s="18" t="inlineStr">
        <is>
          <t xml:space="preserve">kids</t>
        </is>
      </c>
      <c r="B65" s="15">
        <v>141.45294699000002</v>
      </c>
      <c r="C65" s="15">
        <v>314.09969782999997</v>
      </c>
      <c r="D65" s="15">
        <v>15.91877109</v>
      </c>
      <c r="E65" s="17">
        <v>72.447</v>
      </c>
      <c r="F65" s="17">
        <v>4146.855</v>
      </c>
      <c r="G65" s="35">
        <v>1952.5024775353018</v>
      </c>
      <c r="H65" s="37">
        <v>0.4503441040129829</v>
      </c>
      <c r="I65" s="9"/>
      <c r="J65" s="9"/>
      <c r="K65" s="11" t="s">
        <v>51</v>
      </c>
      <c r="L65" s="11" t="s">
        <v>52</v>
      </c>
      <c r="M65" s="11" t="s">
        <v>53</v>
      </c>
      <c r="N65" s="11" t="s">
        <v>54</v>
      </c>
      <c r="O65" s="11" t="s">
        <v>55</v>
      </c>
      <c r="P65" s="11" t="s">
        <v>56</v>
      </c>
      <c r="Q65" s="9"/>
      <c r="R65" s="18" t="inlineStr">
        <is>
          <t xml:space="preserve">kids</t>
        </is>
      </c>
      <c r="S65" s="15">
        <v>141.45294699000002</v>
      </c>
      <c r="T65" s="15">
        <v>314.09969782999997</v>
      </c>
      <c r="U65" s="6"/>
      <c r="V65" s="6"/>
      <c r="W65" s="6"/>
      <c r="X65" s="6"/>
      <c r="Y65" s="6"/>
      <c r="Z65" s="6"/>
    </row>
    <row r="66" spans="1:26" ht="29.15" x14ac:dyDescent="0.4">
      <c r="A66" s="18" t="inlineStr">
        <is>
          <t xml:space="preserve">classical</t>
        </is>
      </c>
      <c r="B66" s="15">
        <v>133.08659882</v>
      </c>
      <c r="C66" s="15">
        <v>294.46010743</v>
      </c>
      <c r="D66" s="15">
        <v>14.670273210000001</v>
      </c>
      <c r="E66" s="17">
        <v>69.807</v>
      </c>
      <c r="F66" s="17">
        <v>3886.84</v>
      </c>
      <c r="G66" s="35">
        <v>1906.4936012147778</v>
      </c>
      <c r="H66" s="37">
        <v>0.45196817993974875</v>
      </c>
      <c r="I66" s="9"/>
      <c r="J66" s="9"/>
      <c r="K66" s="11" t="s">
        <v>57</v>
      </c>
      <c r="L66" s="11" t="s">
        <v>58</v>
      </c>
      <c r="M66" s="11" t="s">
        <v>59</v>
      </c>
      <c r="N66" s="11" t="s">
        <v>60</v>
      </c>
      <c r="O66" s="11" t="s">
        <v>61</v>
      </c>
      <c r="P66" s="11" t="s">
        <v>62</v>
      </c>
      <c r="Q66" s="9"/>
      <c r="R66" s="18" t="inlineStr">
        <is>
          <t xml:space="preserve">classical</t>
        </is>
      </c>
      <c r="S66" s="15">
        <v>133.08659882</v>
      </c>
      <c r="T66" s="15">
        <v>294.46010743</v>
      </c>
      <c r="U66" s="6"/>
      <c r="V66" s="6"/>
      <c r="W66" s="6"/>
      <c r="X66" s="6"/>
      <c r="Y66" s="6"/>
      <c r="Z66" s="6"/>
    </row>
    <row r="67" spans="1:26" ht="29.15" x14ac:dyDescent="0.4">
      <c r="A67" s="18" t="inlineStr">
        <is>
          <t xml:space="preserve">mens</t>
        </is>
      </c>
      <c r="B67" s="15">
        <v>128.55899662000002</v>
      </c>
      <c r="C67" s="15">
        <v>286.63488821</v>
      </c>
      <c r="D67" s="15">
        <v>14.314682699999999</v>
      </c>
      <c r="E67" s="17">
        <v>67.377</v>
      </c>
      <c r="F67" s="17">
        <v>3788.557</v>
      </c>
      <c r="G67" s="35">
        <v>1908.0546272466866</v>
      </c>
      <c r="H67" s="37">
        <v>0.4485113358769245</v>
      </c>
      <c r="I67" s="9"/>
      <c r="J67" s="9"/>
      <c r="K67" s="11" t="s">
        <v>63</v>
      </c>
      <c r="L67" s="11" t="s">
        <v>58</v>
      </c>
      <c r="M67" s="11" t="s">
        <v>64</v>
      </c>
      <c r="N67" s="11" t="s">
        <v>65</v>
      </c>
      <c r="O67" s="11" t="s">
        <v>66</v>
      </c>
      <c r="P67" s="11" t="s">
        <v>67</v>
      </c>
      <c r="Q67" s="9"/>
      <c r="R67" s="18" t="inlineStr">
        <is>
          <t xml:space="preserve">mens</t>
        </is>
      </c>
      <c r="S67" s="15">
        <v>128.55899662000002</v>
      </c>
      <c r="T67" s="15">
        <v>286.63488821</v>
      </c>
      <c r="U67" s="6"/>
      <c r="V67" s="6"/>
      <c r="W67" s="6"/>
      <c r="X67" s="6"/>
      <c r="Y67" s="6"/>
      <c r="Z67" s="6"/>
    </row>
    <row r="68" spans="1:26" ht="29.15" x14ac:dyDescent="0.4">
      <c r="A68" s="18" t="inlineStr">
        <is>
          <t xml:space="preserve">pop</t>
        </is>
      </c>
      <c r="B68" s="15">
        <v>127.55351459</v>
      </c>
      <c r="C68" s="15">
        <v>284.07383367</v>
      </c>
      <c r="D68" s="15">
        <v>14.35871151</v>
      </c>
      <c r="E68" s="17">
        <v>66.954</v>
      </c>
      <c r="F68" s="17">
        <v>3756.997</v>
      </c>
      <c r="G68" s="35">
        <v>1905.0917733070467</v>
      </c>
      <c r="H68" s="37">
        <v>0.449015359641237</v>
      </c>
      <c r="I68" s="9"/>
      <c r="J68" s="9"/>
      <c r="K68" s="11" t="s">
        <v>68</v>
      </c>
      <c r="L68" s="11" t="s">
        <v>58</v>
      </c>
      <c r="M68" s="11" t="s">
        <v>69</v>
      </c>
      <c r="N68" s="11" t="s">
        <v>70</v>
      </c>
      <c r="O68" s="11" t="s">
        <v>71</v>
      </c>
      <c r="P68" s="11" t="s">
        <v>72</v>
      </c>
      <c r="Q68" s="9"/>
      <c r="R68" s="18" t="inlineStr">
        <is>
          <t xml:space="preserve">pop</t>
        </is>
      </c>
      <c r="S68" s="15">
        <v>127.55351459</v>
      </c>
      <c r="T68" s="15">
        <v>284.07383367</v>
      </c>
      <c r="U68" s="6"/>
      <c r="V68" s="6"/>
      <c r="W68" s="6"/>
      <c r="X68" s="6"/>
      <c r="Y68" s="6"/>
      <c r="Z68" s="6"/>
    </row>
    <row r="69" spans="1:26" ht="29.15" x14ac:dyDescent="0.4">
      <c r="A69" s="18" t="inlineStr">
        <is>
          <t xml:space="preserve">shirts</t>
        </is>
      </c>
      <c r="B69" s="15">
        <v>127.4552082</v>
      </c>
      <c r="C69" s="15">
        <v>282.55408243</v>
      </c>
      <c r="D69" s="15">
        <v>13.99199958</v>
      </c>
      <c r="E69" s="17">
        <v>65.805</v>
      </c>
      <c r="F69" s="17">
        <v>3739.835</v>
      </c>
      <c r="G69" s="35">
        <v>1936.8620651926146</v>
      </c>
      <c r="H69" s="37">
        <v>0.4510825223400401</v>
      </c>
      <c r="I69" s="9"/>
      <c r="J69" s="9"/>
      <c r="K69" s="11" t="s">
        <v>73</v>
      </c>
      <c r="L69" s="11" t="s">
        <v>58</v>
      </c>
      <c r="M69" s="11" t="s">
        <v>74</v>
      </c>
      <c r="N69" s="11" t="s">
        <v>75</v>
      </c>
      <c r="O69" s="11" t="s">
        <v>76</v>
      </c>
      <c r="P69" s="11" t="s">
        <v>77</v>
      </c>
      <c r="Q69" s="9"/>
      <c r="R69" s="18" t="inlineStr">
        <is>
          <t xml:space="preserve">shirts</t>
        </is>
      </c>
      <c r="S69" s="15">
        <v>127.4552082</v>
      </c>
      <c r="T69" s="15">
        <v>282.55408243</v>
      </c>
      <c r="U69" s="6"/>
      <c r="V69" s="6"/>
      <c r="W69" s="6"/>
      <c r="X69" s="6"/>
      <c r="Y69" s="6"/>
      <c r="Z69" s="6"/>
    </row>
    <row r="70" spans="1:26" ht="29.15" x14ac:dyDescent="0.4">
      <c r="A70" s="18" t="inlineStr">
        <is>
          <t xml:space="preserve">fragrances</t>
        </is>
      </c>
      <c r="B70" s="15">
        <v>122.55392246</v>
      </c>
      <c r="C70" s="15">
        <v>271.66104264999996</v>
      </c>
      <c r="D70" s="15">
        <v>13.70644019</v>
      </c>
      <c r="E70" s="17">
        <v>66.055</v>
      </c>
      <c r="F70" s="17">
        <v>3597.029</v>
      </c>
      <c r="G70" s="35">
        <v>1855.3315034440996</v>
      </c>
      <c r="H70" s="37">
        <v>0.4511280721906631</v>
      </c>
      <c r="I70" s="9"/>
      <c r="J70" s="9"/>
      <c r="K70" s="11" t="s">
        <v>78</v>
      </c>
      <c r="L70" s="11" t="s">
        <v>58</v>
      </c>
      <c r="M70" s="11" t="s">
        <v>79</v>
      </c>
      <c r="N70" s="11" t="s">
        <v>80</v>
      </c>
      <c r="O70" s="11" t="s">
        <v>81</v>
      </c>
      <c r="P70" s="11" t="s">
        <v>82</v>
      </c>
      <c r="Q70" s="9"/>
      <c r="R70" s="18" t="inlineStr">
        <is>
          <t xml:space="preserve">fragrances</t>
        </is>
      </c>
      <c r="S70" s="15">
        <v>122.55392246</v>
      </c>
      <c r="T70" s="15">
        <v>271.66104264999996</v>
      </c>
      <c r="U70" s="6"/>
      <c r="V70" s="6"/>
      <c r="W70" s="6"/>
      <c r="X70" s="6"/>
      <c r="Y70" s="6"/>
      <c r="Z70" s="6"/>
    </row>
    <row r="71" spans="1:26" x14ac:dyDescent="0.4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6"/>
      <c r="V71" s="6"/>
      <c r="W71" s="6"/>
      <c r="X71" s="6"/>
      <c r="Y71" s="6"/>
      <c r="Z71" s="6"/>
    </row>
    <row r="72" spans="1:26" x14ac:dyDescent="0.4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6"/>
      <c r="V72" s="6"/>
      <c r="W72" s="6"/>
      <c r="X72" s="6"/>
      <c r="Y72" s="6"/>
      <c r="Z72" s="6"/>
    </row>
    <row r="73" spans="1:26" x14ac:dyDescent="0.4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6"/>
      <c r="V73" s="6"/>
      <c r="W73" s="6"/>
      <c r="X73" s="6"/>
      <c r="Y73" s="6"/>
      <c r="Z73" s="6"/>
    </row>
    <row r="74" spans="1:26" x14ac:dyDescent="0.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6"/>
      <c r="V74" s="6"/>
      <c r="W74" s="6"/>
      <c r="X74" s="6"/>
      <c r="Y74" s="6"/>
      <c r="Z74" s="6"/>
    </row>
    <row r="75" spans="1:26" x14ac:dyDescent="0.4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6"/>
      <c r="V75" s="6"/>
      <c r="W75" s="6"/>
      <c r="X75" s="6"/>
      <c r="Y75" s="6"/>
      <c r="Z75" s="6"/>
    </row>
    <row r="76" spans="1:26" x14ac:dyDescent="0.4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6"/>
      <c r="V76" s="6"/>
      <c r="W76" s="6"/>
      <c r="X76" s="6"/>
      <c r="Y76" s="6"/>
      <c r="Z76" s="6"/>
    </row>
    <row r="77" spans="1:26" x14ac:dyDescent="0.4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6"/>
      <c r="V77" s="6"/>
      <c r="W77" s="6"/>
      <c r="X77" s="6"/>
      <c r="Y77" s="6"/>
      <c r="Z77" s="6"/>
    </row>
    <row r="78" spans="1:26" x14ac:dyDescent="0.4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6"/>
      <c r="V78" s="6"/>
      <c r="W78" s="6"/>
      <c r="X78" s="6"/>
      <c r="Y78" s="6"/>
      <c r="Z78" s="6"/>
    </row>
    <row r="79" spans="1:26" x14ac:dyDescent="0.4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6"/>
      <c r="V79" s="6"/>
      <c r="W79" s="6"/>
      <c r="X79" s="6"/>
      <c r="Y79" s="6"/>
      <c r="Z79" s="6"/>
    </row>
    <row r="80" spans="1:26" x14ac:dyDescent="0.4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6"/>
      <c r="V80" s="6"/>
      <c r="W80" s="6"/>
      <c r="X80" s="6"/>
      <c r="Y80" s="6"/>
      <c r="Z80" s="6"/>
    </row>
    <row r="81" spans="1:26" x14ac:dyDescent="0.4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6"/>
      <c r="V81" s="6"/>
      <c r="W81" s="6"/>
      <c r="X81" s="6"/>
      <c r="Y81" s="6"/>
      <c r="Z81" s="6"/>
    </row>
    <row r="82" spans="1:26" x14ac:dyDescent="0.4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6"/>
      <c r="V82" s="6"/>
      <c r="W82" s="6"/>
      <c r="X82" s="6"/>
      <c r="Y82" s="6"/>
      <c r="Z82" s="6"/>
    </row>
    <row r="83" spans="1:26" x14ac:dyDescent="0.4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6"/>
      <c r="V83" s="6"/>
      <c r="W83" s="6"/>
      <c r="X83" s="6"/>
      <c r="Y83" s="6"/>
      <c r="Z83" s="6"/>
    </row>
    <row r="84" spans="1:26" x14ac:dyDescent="0.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6"/>
      <c r="V84" s="6"/>
      <c r="W84" s="6"/>
      <c r="X84" s="6"/>
      <c r="Y84" s="6"/>
      <c r="Z84" s="6"/>
    </row>
    <row r="85" spans="1:26" x14ac:dyDescent="0.4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6"/>
      <c r="V85" s="6"/>
      <c r="W85" s="6"/>
      <c r="X85" s="6"/>
      <c r="Y85" s="6"/>
      <c r="Z85" s="6"/>
    </row>
    <row r="86" spans="1:26" x14ac:dyDescent="0.4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6"/>
      <c r="V86" s="6"/>
      <c r="W86" s="6"/>
      <c r="X86" s="6"/>
      <c r="Y86" s="6"/>
      <c r="Z86" s="6"/>
    </row>
    <row r="87" spans="1:26" x14ac:dyDescent="0.4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6"/>
      <c r="V87" s="6"/>
      <c r="W87" s="6"/>
      <c r="X87" s="6"/>
      <c r="Y87" s="6"/>
      <c r="Z87" s="6"/>
    </row>
    <row r="88" spans="1:26" x14ac:dyDescent="0.4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6"/>
      <c r="V88" s="6"/>
      <c r="W88" s="6"/>
      <c r="X88" s="6"/>
      <c r="Y88" s="6"/>
      <c r="Z88" s="6"/>
    </row>
    <row r="89" spans="1:26" x14ac:dyDescent="0.4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6"/>
      <c r="V89" s="6"/>
      <c r="W89" s="6"/>
      <c r="X89" s="6"/>
      <c r="Y89" s="6"/>
      <c r="Z89" s="6"/>
    </row>
    <row r="90" spans="1:26" x14ac:dyDescent="0.4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6"/>
      <c r="V90" s="6"/>
      <c r="W90" s="6"/>
      <c r="X90" s="6"/>
      <c r="Y90" s="6"/>
      <c r="Z90" s="6"/>
    </row>
    <row r="91" spans="1:26" x14ac:dyDescent="0.4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6"/>
      <c r="V91" s="6"/>
      <c r="W91" s="6"/>
      <c r="X91" s="6"/>
      <c r="Y91" s="6"/>
      <c r="Z91" s="6"/>
    </row>
    <row r="92" spans="1:26" x14ac:dyDescent="0.4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6"/>
      <c r="V92" s="6"/>
      <c r="W92" s="6"/>
      <c r="X92" s="6"/>
      <c r="Y92" s="6"/>
      <c r="Z92" s="6"/>
    </row>
    <row r="93" spans="1:26" x14ac:dyDescent="0.4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6"/>
      <c r="V93" s="6"/>
      <c r="W93" s="6"/>
      <c r="X93" s="6"/>
      <c r="Y93" s="6"/>
      <c r="Z93" s="6"/>
    </row>
    <row r="94" spans="1:26" x14ac:dyDescent="0.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6"/>
      <c r="V94" s="6"/>
      <c r="W94" s="6"/>
      <c r="X94" s="6"/>
      <c r="Y94" s="6"/>
      <c r="Z94" s="6"/>
    </row>
    <row r="95" spans="1:26" x14ac:dyDescent="0.4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6"/>
      <c r="V95" s="6"/>
      <c r="W95" s="6"/>
      <c r="X95" s="6"/>
      <c r="Y95" s="6"/>
      <c r="Z95" s="6"/>
    </row>
    <row r="96" spans="1:26" x14ac:dyDescent="0.4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6"/>
      <c r="V96" s="6"/>
      <c r="W96" s="6"/>
      <c r="X96" s="6"/>
      <c r="Y96" s="6"/>
      <c r="Z96" s="6"/>
    </row>
    <row r="97" spans="1:26" x14ac:dyDescent="0.4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6"/>
      <c r="V97" s="6"/>
      <c r="W97" s="6"/>
      <c r="X97" s="6"/>
      <c r="Y97" s="6"/>
      <c r="Z97" s="6"/>
    </row>
    <row r="98" spans="1:26" x14ac:dyDescent="0.4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6"/>
      <c r="V98" s="6"/>
      <c r="W98" s="6"/>
      <c r="X98" s="6"/>
      <c r="Y98" s="6"/>
      <c r="Z98" s="6"/>
    </row>
    <row r="99" spans="1:26" x14ac:dyDescent="0.4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6"/>
      <c r="V99" s="6"/>
      <c r="W99" s="6"/>
      <c r="X99" s="6"/>
      <c r="Y99" s="6"/>
      <c r="Z99" s="6"/>
    </row>
    <row r="100" spans="1:26" x14ac:dyDescent="0.4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6"/>
      <c r="V100" s="6"/>
      <c r="W100" s="6"/>
      <c r="X100" s="6"/>
      <c r="Y100" s="6"/>
      <c r="Z100" s="6"/>
    </row>
    <row r="101" spans="1:26" x14ac:dyDescent="0.4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6"/>
      <c r="V101" s="6"/>
      <c r="W101" s="6"/>
      <c r="X101" s="6"/>
      <c r="Y101" s="6"/>
      <c r="Z101" s="6"/>
    </row>
    <row r="102" spans="1:26" x14ac:dyDescent="0.4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6"/>
      <c r="V102" s="6"/>
      <c r="W102" s="6"/>
      <c r="X102" s="6"/>
      <c r="Y102" s="6"/>
      <c r="Z102" s="6"/>
    </row>
    <row r="103" spans="1:26" x14ac:dyDescent="0.4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6"/>
      <c r="V103" s="6"/>
      <c r="W103" s="6"/>
      <c r="X103" s="6"/>
      <c r="Y103" s="6"/>
      <c r="Z103" s="6"/>
    </row>
    <row r="104" spans="1:26" x14ac:dyDescent="0.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6"/>
      <c r="V104" s="6"/>
      <c r="W104" s="6"/>
      <c r="X104" s="6"/>
      <c r="Y104" s="6"/>
      <c r="Z104" s="6"/>
    </row>
    <row r="105" spans="1:26" x14ac:dyDescent="0.4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6"/>
      <c r="V105" s="6"/>
      <c r="W105" s="6"/>
      <c r="X105" s="6"/>
      <c r="Y105" s="6"/>
      <c r="Z105" s="6"/>
    </row>
    <row r="106" spans="1:26" x14ac:dyDescent="0.4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6"/>
      <c r="V106" s="6"/>
      <c r="W106" s="6"/>
      <c r="X106" s="6"/>
      <c r="Y106" s="6"/>
      <c r="Z106" s="6"/>
    </row>
    <row r="107" spans="1:26" x14ac:dyDescent="0.4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6"/>
      <c r="V107" s="6"/>
      <c r="W107" s="6"/>
      <c r="X107" s="6"/>
      <c r="Y107" s="6"/>
      <c r="Z107" s="6"/>
    </row>
    <row r="108" spans="1:26" x14ac:dyDescent="0.4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6"/>
      <c r="V108" s="6"/>
      <c r="W108" s="6"/>
      <c r="X108" s="6"/>
      <c r="Y108" s="6"/>
      <c r="Z108" s="6"/>
    </row>
    <row r="109" spans="1:26" x14ac:dyDescent="0.4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6"/>
      <c r="V109" s="6"/>
      <c r="W109" s="6"/>
      <c r="X109" s="6"/>
      <c r="Y109" s="6"/>
      <c r="Z109" s="6"/>
    </row>
    <row r="110" spans="1:26" x14ac:dyDescent="0.4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6"/>
      <c r="V110" s="6"/>
      <c r="W110" s="6"/>
      <c r="X110" s="6"/>
      <c r="Y110" s="6"/>
      <c r="Z110" s="6"/>
    </row>
    <row r="111" spans="1:26" x14ac:dyDescent="0.4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6"/>
      <c r="V111" s="6"/>
      <c r="W111" s="6"/>
      <c r="X111" s="6"/>
      <c r="Y111" s="6"/>
      <c r="Z111" s="6"/>
    </row>
    <row r="112" spans="1:26" x14ac:dyDescent="0.4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6"/>
      <c r="V112" s="6"/>
      <c r="W112" s="6"/>
      <c r="X112" s="6"/>
      <c r="Y112" s="6"/>
      <c r="Z112" s="6"/>
    </row>
    <row r="113" spans="1:26" x14ac:dyDescent="0.4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6"/>
      <c r="V113" s="6"/>
      <c r="W113" s="6"/>
      <c r="X113" s="6"/>
      <c r="Y113" s="6"/>
      <c r="Z113" s="6"/>
    </row>
    <row r="114" spans="1:26" x14ac:dyDescent="0.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6"/>
      <c r="V114" s="6"/>
      <c r="W114" s="6"/>
      <c r="X114" s="6"/>
      <c r="Y114" s="6"/>
      <c r="Z114" s="6"/>
    </row>
    <row r="115" spans="1:26" x14ac:dyDescent="0.4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6"/>
      <c r="V115" s="6"/>
      <c r="W115" s="6"/>
      <c r="X115" s="6"/>
      <c r="Y115" s="6"/>
      <c r="Z115" s="6"/>
    </row>
    <row r="116" spans="1:26" x14ac:dyDescent="0.4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6"/>
      <c r="V116" s="6"/>
      <c r="W116" s="6"/>
      <c r="X116" s="6"/>
      <c r="Y116" s="6"/>
      <c r="Z116" s="6"/>
    </row>
  </sheetData>
  <mergeCells count="9">
    <mergeCell ref="M3:N3"/>
    <mergeCell ref="A1:L1"/>
    <mergeCell ref="A6:B6"/>
    <mergeCell ref="E6:F6"/>
    <mergeCell ref="I6:J6"/>
    <mergeCell ref="M6:N6"/>
    <mergeCell ref="I3:J3"/>
    <mergeCell ref="E3:F3"/>
    <mergeCell ref="A3:B3"/>
  </mergeCells>
  <pageMargins left="0.7" right="0.7" top="0.75" bottom="0.75" header="0.3" footer="0.3"/>
  <drawing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4DAC0-E5EA-4596-AEB4-4E2F9E4B3477}">
  <dimension ref="B2:H7"/>
  <sheetViews>
    <sheetView workbookViewId="0">
      <selection activeCell="J10" sqref="J10"/>
    </sheetView>
  </sheetViews>
  <sheetFormatPr defaultRowHeight="14.6" x14ac:dyDescent="0.4"/>
  <sheetData>
    <row r="2" spans="2:8" ht="31.3" x14ac:dyDescent="0.9">
      <c r="B2" s="1" t="s">
        <v>0</v>
      </c>
    </row>
    <row r="3" spans="2:8" x14ac:dyDescent="0.4">
      <c r="B3" s="4" t="s">
        <v>1</v>
      </c>
      <c r="C3" s="4" t="s">
        <v>2</v>
      </c>
      <c r="D3" s="4" t="s">
        <v>3</v>
      </c>
      <c r="E3" s="4" t="s">
        <v>2</v>
      </c>
      <c r="F3" s="4" t="s">
        <v>3</v>
      </c>
    </row>
    <row r="4" spans="2:8" x14ac:dyDescent="0.4">
      <c r="B4" s="2">
        <v>50</v>
      </c>
      <c r="C4" s="2">
        <v>50</v>
      </c>
      <c r="D4" s="3">
        <v>100</v>
      </c>
      <c r="E4" s="2">
        <v>75</v>
      </c>
      <c r="F4" s="2">
        <v>175</v>
      </c>
      <c r="H4" s="5" t="s">
        <v>4</v>
      </c>
    </row>
    <row r="5" spans="2:8" x14ac:dyDescent="0.4">
      <c r="B5" s="2">
        <v>50</v>
      </c>
      <c r="C5" s="2">
        <v>60</v>
      </c>
      <c r="D5" s="2"/>
      <c r="E5" s="2">
        <v>75</v>
      </c>
      <c r="F5" s="2"/>
    </row>
    <row r="6" spans="2:8" x14ac:dyDescent="0.4">
      <c r="B6" s="2">
        <v>50</v>
      </c>
      <c r="C6" s="2">
        <v>70</v>
      </c>
      <c r="D6" s="2"/>
      <c r="E6" s="2">
        <v>75</v>
      </c>
      <c r="F6" s="2"/>
    </row>
    <row r="7" spans="2:8" x14ac:dyDescent="0.4">
      <c r="B7" s="2">
        <v>50</v>
      </c>
      <c r="C7" s="2">
        <v>80</v>
      </c>
      <c r="D7" s="2"/>
      <c r="E7" s="2">
        <v>75</v>
      </c>
      <c r="F7" s="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21F3-7C13-46D0-B89F-A0258F079CED}">
  <dimension ref="A1"/>
  <sheetViews>
    <sheetView topLeftCell="D1" workbookViewId="0">
      <selection activeCell="D1" sqref="D1"/>
    </sheetView>
  </sheetViews>
  <sheetFormatPr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Othman</dc:creator>
  <cp:lastModifiedBy>Mohammed Othman</cp:lastModifiedBy>
  <dcterms:created xsi:type="dcterms:W3CDTF">2026-06-24T23:54:34Z</dcterms:created>
  <dcterms:modified xsi:type="dcterms:W3CDTF">2026-06-25T01:31:49Z</dcterms:modified>
</cp:coreProperties>
</file>