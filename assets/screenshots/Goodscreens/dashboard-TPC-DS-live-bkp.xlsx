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hm\Downloads\tessallite-workspace\tessallite-workspace\tessallite-workspace\tessallite-website\assets\screenshots\Goodscreens\"/>
    </mc:Choice>
  </mc:AlternateContent>
  <xr:revisionPtr revIDLastSave="0" documentId="8_{42FDDF14-1735-444B-A156-D8E318AB1BDB}" xr6:coauthVersionLast="47" xr6:coauthVersionMax="47" xr10:uidLastSave="{00000000-0000-0000-0000-000000000000}"/>
  <bookViews>
    <workbookView xWindow="-103" yWindow="-103" windowWidth="24892" windowHeight="14914" xr2:uid="{4ECB5F93-2A08-4204-BB60-FF1730518FD8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0" i="1" l="1"/>
  <c r="C67" i="1"/>
  <c r="F57" i="1"/>
  <c r="B51" i="1"/>
  <c r="N47" i="1"/>
  <c r="P45" i="1"/>
  <c r="B44" i="1"/>
  <c r="D42" i="1"/>
  <c r="B67" i="1"/>
  <c r="E57" i="1"/>
  <c r="G50" i="1"/>
  <c r="M47" i="1"/>
  <c r="O45" i="1"/>
  <c r="S43" i="1"/>
  <c r="C42" i="1"/>
  <c r="B70" i="1"/>
  <c r="D66" i="1"/>
  <c r="G53" i="1"/>
  <c r="C50" i="1"/>
  <c r="E47" i="1"/>
  <c r="G45" i="1"/>
  <c r="M43" i="1"/>
  <c r="M7" i="1"/>
  <c r="T69" i="1"/>
  <c r="C66" i="1"/>
  <c r="F53" i="1"/>
  <c r="B50" i="1"/>
  <c r="D47" i="1"/>
  <c r="F45" i="1"/>
  <c r="L43" i="1"/>
  <c r="I7" i="1"/>
  <c r="S69" i="1"/>
  <c r="B66" i="1"/>
  <c r="E53" i="1"/>
  <c r="G49" i="1"/>
  <c r="C47" i="1"/>
  <c r="E45" i="1"/>
  <c r="G43" i="1"/>
  <c r="E7" i="1"/>
  <c r="G69" i="1"/>
  <c r="T65" i="1"/>
  <c r="D53" i="1"/>
  <c r="F49" i="1"/>
  <c r="B47" i="1"/>
  <c r="D45" i="1"/>
  <c r="F43" i="1"/>
  <c r="A7" i="1"/>
  <c r="D69" i="1"/>
  <c r="S65" i="1"/>
  <c r="C53" i="1"/>
  <c r="E49" i="1"/>
  <c r="S46" i="1"/>
  <c r="C45" i="1"/>
  <c r="E43" i="1"/>
  <c r="M4" i="1"/>
  <c r="C69" i="1"/>
  <c r="G65" i="1"/>
  <c r="B53" i="1"/>
  <c r="D49" i="1"/>
  <c r="P46" i="1"/>
  <c r="B45" i="1"/>
  <c r="D43" i="1"/>
  <c r="I4" i="1"/>
  <c r="B69" i="1"/>
  <c r="D65" i="1"/>
  <c r="G52" i="1"/>
  <c r="C49" i="1"/>
  <c r="O46" i="1"/>
  <c r="S44" i="1"/>
  <c r="C43" i="1"/>
  <c r="E4" i="1"/>
  <c r="T68" i="1"/>
  <c r="C65" i="1"/>
  <c r="F52" i="1"/>
  <c r="B49" i="1"/>
  <c r="N46" i="1"/>
  <c r="P44" i="1"/>
  <c r="B43" i="1"/>
  <c r="A4" i="1"/>
  <c r="S68" i="1"/>
  <c r="B65" i="1"/>
  <c r="E52" i="1"/>
  <c r="G48" i="1"/>
  <c r="M46" i="1"/>
  <c r="O44" i="1"/>
  <c r="S42" i="1"/>
  <c r="G68" i="1"/>
  <c r="M60" i="1"/>
  <c r="D52" i="1"/>
  <c r="F48" i="1"/>
  <c r="L46" i="1"/>
  <c r="N44" i="1"/>
  <c r="P42" i="1"/>
  <c r="D68" i="1"/>
  <c r="L60" i="1"/>
  <c r="C52" i="1"/>
  <c r="E48" i="1"/>
  <c r="G46" i="1"/>
  <c r="M44" i="1"/>
  <c r="O42" i="1"/>
  <c r="C68" i="1"/>
  <c r="M59" i="1"/>
  <c r="B52" i="1"/>
  <c r="D48" i="1"/>
  <c r="F46" i="1"/>
  <c r="L44" i="1"/>
  <c r="N42" i="1"/>
  <c r="B68" i="1"/>
  <c r="L59" i="1"/>
  <c r="G51" i="1"/>
  <c r="C48" i="1"/>
  <c r="E46" i="1"/>
  <c r="G44" i="1"/>
  <c r="M42" i="1"/>
  <c r="T67" i="1"/>
  <c r="M58" i="1"/>
  <c r="F51" i="1"/>
  <c r="B48" i="1"/>
  <c r="D46" i="1"/>
  <c r="F44" i="1"/>
  <c r="L42" i="1"/>
  <c r="S67" i="1"/>
  <c r="L58" i="1"/>
  <c r="E51" i="1"/>
  <c r="S47" i="1"/>
  <c r="C46" i="1"/>
  <c r="E44" i="1"/>
  <c r="S70" i="1"/>
  <c r="G70" i="1"/>
  <c r="T66" i="1"/>
  <c r="D57" i="1"/>
  <c r="F50" i="1"/>
  <c r="L47" i="1"/>
  <c r="N45" i="1"/>
  <c r="P43" i="1"/>
  <c r="B42" i="1"/>
  <c r="S66" i="1"/>
  <c r="C57" i="1"/>
  <c r="E50" i="1"/>
  <c r="G47" i="1"/>
  <c r="M45" i="1"/>
  <c r="O43" i="1"/>
  <c r="D70" i="1"/>
  <c r="C70" i="1"/>
  <c r="G66" i="1"/>
  <c r="B57" i="1"/>
  <c r="D50" i="1"/>
  <c r="F47" i="1"/>
  <c r="L45" i="1"/>
  <c r="N43" i="1"/>
  <c r="G67" i="1"/>
  <c r="D67" i="1"/>
  <c r="M57" i="1"/>
  <c r="L57" i="1"/>
  <c r="D51" i="1"/>
  <c r="C51" i="1"/>
  <c r="P47" i="1"/>
  <c r="O47" i="1"/>
  <c r="B46" i="1"/>
  <c r="D44" i="1"/>
  <c r="G42" i="1"/>
  <c r="F42" i="1"/>
  <c r="E42" i="1"/>
  <c r="S45" i="1"/>
  <c r="C44" i="1"/>
  <c r="J38" i="1" l="1"/>
  <c r="J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essalliteTPCDS" type="5" refreshedVersion="8" minRefreshableVersion="3" background="1" saveData="1">
    <dbPr connection="Provider=MSOLAP.8;Persist Security Info=True;Data Source=https://sql.cloud.tessallite.io:8080/api/v1/xmla/acme-demo;Initial Catalog=tpcds_retail;MDX Compatibility=1;Safety Options=2" command="tpcds_retail" commandType="1"/>
    <olapPr sendLocale="1" rowDrillCount="1000"/>
  </connection>
</connections>
</file>

<file path=xl/sharedStrings.xml><?xml version="1.0" encoding="utf-8"?>
<sst xmlns="http://schemas.openxmlformats.org/spreadsheetml/2006/main" count="147" uniqueCount="107">
  <si>
    <t>Title</t>
  </si>
  <si>
    <t>This:</t>
  </si>
  <si>
    <t>Plus this:</t>
  </si>
  <si>
    <t>Equals:</t>
  </si>
  <si>
    <t xml:space="preserve">Comment </t>
  </si>
  <si>
    <t>MODEL STATUS</t>
  </si>
  <si>
    <t>Mock source data and semantic model mapping — dashboard formulas and charts tie to these blocks</t>
  </si>
  <si>
    <t>Month</t>
  </si>
  <si>
    <t>Gross Sales ($m)</t>
  </si>
  <si>
    <t>Discount ($m)</t>
  </si>
  <si>
    <t>Net Sales ($m)</t>
  </si>
  <si>
    <t>Net Profit ($m)</t>
  </si>
  <si>
    <t>Gross Margin</t>
  </si>
  <si>
    <t>Quantity (000s)</t>
  </si>
  <si>
    <t>Orders (000s)</t>
  </si>
  <si>
    <t>Customers (000s)</t>
  </si>
  <si>
    <t>Category</t>
  </si>
  <si>
    <t>Avg Ticket ($)</t>
  </si>
  <si>
    <t>Electronics</t>
  </si>
  <si>
    <t>Sports</t>
  </si>
  <si>
    <t>Revenue / Customer ($)</t>
  </si>
  <si>
    <t>Target Orders (000s)</t>
  </si>
  <si>
    <t>Profit / Promo Cost</t>
  </si>
  <si>
    <t>Table</t>
  </si>
  <si>
    <t>Type</t>
  </si>
  <si>
    <t>Primary Key</t>
  </si>
  <si>
    <t>Join Path</t>
  </si>
  <si>
    <t>Dashboard Use</t>
  </si>
  <si>
    <t>Notes</t>
  </si>
  <si>
    <t>store_sales</t>
  </si>
  <si>
    <t>fact</t>
  </si>
  <si>
    <t>ss_* keys</t>
  </si>
  <si>
    <t>date_dim, item, store, customer, promotion</t>
  </si>
  <si>
    <t>gross/net/profit/discounts</t>
  </si>
  <si>
    <t>Central transaction fact table</t>
  </si>
  <si>
    <t>date_dim</t>
  </si>
  <si>
    <t>dim_detail</t>
  </si>
  <si>
    <t>d_date_sk</t>
  </si>
  <si>
    <t>store_sales.ss_sold_date_sk</t>
  </si>
  <si>
    <t>month / quarter / year</t>
  </si>
  <si>
    <t>Calendar trend axis</t>
  </si>
  <si>
    <t>item</t>
  </si>
  <si>
    <t>i_item_sk</t>
  </si>
  <si>
    <t>store_sales.ss_item_sk</t>
  </si>
  <si>
    <t>brand / category / class</t>
  </si>
  <si>
    <t>Category mix and margin</t>
  </si>
  <si>
    <t>store</t>
  </si>
  <si>
    <t>s_store_sk</t>
  </si>
  <si>
    <t>store_sales.ss_store_sk</t>
  </si>
  <si>
    <t>region / state</t>
  </si>
  <si>
    <t>Regional performance</t>
  </si>
  <si>
    <t>customer</t>
  </si>
  <si>
    <t>c_customer_sk</t>
  </si>
  <si>
    <t>store_sales.ss_customer_sk</t>
  </si>
  <si>
    <t>customer_segment</t>
  </si>
  <si>
    <t>Loyalty economics</t>
  </si>
  <si>
    <t>promotion</t>
  </si>
  <si>
    <t>p_promo_sk</t>
  </si>
  <si>
    <t>store_sales.ss_promo_sk</t>
  </si>
  <si>
    <t>promotion_type</t>
  </si>
  <si>
    <t>Promo ROI</t>
  </si>
  <si>
    <t>NET SALES</t>
  </si>
  <si>
    <t>NET PROFIT</t>
  </si>
  <si>
    <t>GROSS MARGIN</t>
  </si>
  <si>
    <t>AVG TICKET</t>
  </si>
  <si>
    <t>ORDERS</t>
  </si>
  <si>
    <t>ACTIVE CUSTOMERS</t>
  </si>
  <si>
    <t>REV / CUSTOMER</t>
  </si>
  <si>
    <t>DISCOUNT RATE</t>
  </si>
  <si>
    <t>Executive Takeaways</t>
  </si>
  <si>
    <t>Data Quality Checks</t>
  </si>
  <si>
    <t>Holiday peak months (Nov-Dec) account for ~21% of LTM net sales; West is the largest region and Electronics/Grocery carry the sales base.</t>
  </si>
  <si>
    <t>Monthly = Category net sales</t>
  </si>
  <si>
    <t>Email and In-Store Event promos beat response targets; customer economics improve materially from Bronze to Platinum.</t>
  </si>
  <si>
    <t>Monthly = Promo net sales</t>
  </si>
  <si>
    <t>Retail Analytics Dashboard</t>
  </si>
  <si>
    <t>Live - Tessallite XMLA - tpcds_retail</t>
  </si>
  <si>
    <t>Jan</t>
  </si>
  <si>
    <t>Music</t>
  </si>
  <si>
    <t>Feb</t>
  </si>
  <si>
    <t>Shoes</t>
  </si>
  <si>
    <t>Mar</t>
  </si>
  <si>
    <t>Apr</t>
  </si>
  <si>
    <t>Home</t>
  </si>
  <si>
    <t>May</t>
  </si>
  <si>
    <t>Jun</t>
  </si>
  <si>
    <t>Women</t>
  </si>
  <si>
    <t>Jul</t>
  </si>
  <si>
    <t>Aug</t>
  </si>
  <si>
    <t>Sep</t>
  </si>
  <si>
    <t>Oct</t>
  </si>
  <si>
    <t>Nov</t>
  </si>
  <si>
    <t>Dec</t>
  </si>
  <si>
    <t>Store State</t>
  </si>
  <si>
    <t>Quarter</t>
  </si>
  <si>
    <t>TN</t>
  </si>
  <si>
    <t>Q1</t>
  </si>
  <si>
    <t>Q2</t>
  </si>
  <si>
    <t>Q3</t>
  </si>
  <si>
    <t>Q4</t>
  </si>
  <si>
    <t>Product Class</t>
  </si>
  <si>
    <t>kids</t>
  </si>
  <si>
    <t>classical</t>
  </si>
  <si>
    <t>mens</t>
  </si>
  <si>
    <t>pop</t>
  </si>
  <si>
    <t>shirts</t>
  </si>
  <si>
    <t>fragrances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</si>
</sst>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£&quot;0.0&quot;m&quot;"/>
    <numFmt numFmtId="165" formatCode="0.0%"/>
    <numFmt numFmtId="166" formatCode="&quot;£&quot;0"/>
    <numFmt numFmtId="167" formatCode="#,##0&quot;k&quot;"/>
    <numFmt numFmtId="168" formatCode="0.0\x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2"/>
      <color rgb="FF3B3838"/>
      <name val="Segoe UI Light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3B3838"/>
      <name val="Calibri"/>
      <scheme val="minor"/>
    </font>
    <font>
      <b/>
      <sz val="11"/>
      <color rgb="FFFFFFFF"/>
      <name val="Calibri"/>
      <scheme val="minor"/>
    </font>
    <font>
      <b/>
      <sz val="11"/>
      <color rgb="FF649B3F"/>
      <name val="Calibri"/>
      <scheme val="minor"/>
    </font>
    <font>
      <b/>
      <sz val="11"/>
      <color rgb="FFFFFFFF"/>
      <name val="Calibri"/>
      <family val="2"/>
      <scheme val="minor"/>
    </font>
    <font>
      <sz val="26"/>
      <color theme="7" tint="0.79998168889431442"/>
      <name val="Segoe UI Light"/>
      <family val="2"/>
    </font>
    <font>
      <b/>
      <sz val="12"/>
      <color rgb="FF649B3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3B3838"/>
      <name val="Segoe UI Light"/>
      <family val="2"/>
    </font>
    <font>
      <b/>
      <sz val="14"/>
      <color rgb="FF649B3F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649B3F"/>
        <bgColor rgb="FF000000"/>
      </patternFill>
    </fill>
    <fill>
      <patternFill patternType="solid">
        <fgColor rgb="FF649B3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/>
    <xf numFmtId="0" fontId="1" fillId="3" borderId="2"/>
  </cellStyleXfs>
  <cellXfs count="33">
    <xf numFmtId="0" fontId="0" fillId="0" borderId="0" xfId="0"/>
    <xf numFmtId="0" fontId="3" fillId="0" borderId="0" xfId="0" applyFont="1"/>
    <xf numFmtId="0" fontId="5" fillId="4" borderId="0" xfId="2" applyFont="1" applyFill="1"/>
    <xf numFmtId="0" fontId="5" fillId="5" borderId="2" xfId="3" applyFont="1" applyFill="1"/>
    <xf numFmtId="0" fontId="4" fillId="6" borderId="0" xfId="1" applyFont="1" applyFill="1" applyBorder="1"/>
    <xf numFmtId="0" fontId="0" fillId="8" borderId="0" xfId="0" applyFill="1"/>
    <xf numFmtId="0" fontId="6" fillId="9" borderId="0" xfId="0" applyFont="1" applyFill="1"/>
    <xf numFmtId="0" fontId="7" fillId="10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164" fontId="6" fillId="11" borderId="0" xfId="0" applyNumberFormat="1" applyFont="1" applyFill="1" applyAlignment="1">
      <alignment horizontal="left" vertical="center"/>
    </xf>
    <xf numFmtId="165" fontId="6" fillId="3" borderId="0" xfId="0" applyNumberFormat="1" applyFont="1" applyFill="1" applyAlignment="1">
      <alignment horizontal="left" vertical="center"/>
    </xf>
    <xf numFmtId="167" fontId="6" fillId="11" borderId="0" xfId="0" applyNumberFormat="1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166" fontId="6" fillId="11" borderId="0" xfId="0" applyNumberFormat="1" applyFont="1" applyFill="1" applyAlignment="1">
      <alignment horizontal="left" vertical="center"/>
    </xf>
    <xf numFmtId="166" fontId="6" fillId="3" borderId="0" xfId="0" applyNumberFormat="1" applyFont="1" applyFill="1" applyAlignment="1">
      <alignment horizontal="left" vertical="center"/>
    </xf>
    <xf numFmtId="168" fontId="6" fillId="3" borderId="0" xfId="0" applyNumberFormat="1" applyFont="1" applyFill="1" applyAlignment="1">
      <alignment horizontal="left" vertical="center"/>
    </xf>
    <xf numFmtId="17" fontId="6" fillId="11" borderId="0" xfId="0" applyNumberFormat="1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 wrapText="1"/>
    </xf>
    <xf numFmtId="0" fontId="13" fillId="11" borderId="0" xfId="0" applyFont="1" applyFill="1" applyAlignment="1">
      <alignment horizontal="left" vertical="center" wrapText="1"/>
    </xf>
    <xf numFmtId="164" fontId="14" fillId="11" borderId="0" xfId="0" applyNumberFormat="1" applyFont="1" applyFill="1" applyAlignment="1">
      <alignment horizontal="left" vertical="center" wrapText="1"/>
    </xf>
    <xf numFmtId="167" fontId="14" fillId="11" borderId="0" xfId="0" applyNumberFormat="1" applyFont="1" applyFill="1" applyAlignment="1">
      <alignment horizontal="left" vertical="center" wrapText="1"/>
    </xf>
    <xf numFmtId="165" fontId="14" fillId="11" borderId="0" xfId="0" applyNumberFormat="1" applyFont="1" applyFill="1" applyAlignment="1">
      <alignment horizontal="left" vertical="center" wrapText="1"/>
    </xf>
    <xf numFmtId="166" fontId="14" fillId="11" borderId="0" xfId="0" applyNumberFormat="1" applyFont="1" applyFill="1" applyAlignment="1">
      <alignment horizontal="left" vertical="center" wrapText="1"/>
    </xf>
    <xf numFmtId="0" fontId="16" fillId="11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center" vertical="center" wrapText="1"/>
    </xf>
  </cellXfs>
  <cellStyles count="4">
    <cellStyle name="GrayCell" xfId="2" xr:uid="{F9DF5C6D-1CB3-4579-A6C2-1EFE94D8FD05}"/>
    <cellStyle name="Heading 3" xfId="1" builtinId="18"/>
    <cellStyle name="Normal" xfId="0" builtinId="0"/>
    <cellStyle name="YellowCell" xfId="3" xr:uid="{AA5E6C88-D267-4648-9341-73020A44DF8A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0.0\x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1" formatCode="dd\-mmm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904CE37-4DD9-43E7-9288-412C7DD82B55}"/>
  </tableStyles>
  <colors>
    <mruColors>
      <color rgb="FF64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essallite">
      <tp t="e">
        <v>#N/A</v>
        <stp>1</stp>
        <tr r="C44" s="1"/>
        <tr r="S45" s="1"/>
        <tr r="E42" s="1"/>
        <tr r="F42" s="1"/>
        <tr r="G42" s="1"/>
        <tr r="D44" s="1"/>
        <tr r="B46" s="1"/>
        <tr r="O47" s="1"/>
        <tr r="P47" s="1"/>
        <tr r="C51" s="1"/>
        <tr r="D51" s="1"/>
        <tr r="L57" s="1"/>
        <tr r="M57" s="1"/>
        <tr r="D67" s="1"/>
        <tr r="G67" s="1"/>
        <tr r="N43" s="1"/>
        <tr r="L45" s="1"/>
        <tr r="F47" s="1"/>
        <tr r="D50" s="1"/>
        <tr r="B57" s="1"/>
        <tr r="G66" s="1"/>
        <tr r="C70" s="1"/>
        <tr r="D70" s="1"/>
        <tr r="O43" s="1"/>
        <tr r="M45" s="1"/>
        <tr r="G47" s="1"/>
        <tr r="E50" s="1"/>
        <tr r="C57" s="1"/>
        <tr r="S66" s="1"/>
        <tr r="B42" s="1"/>
        <tr r="P43" s="1"/>
        <tr r="N45" s="1"/>
        <tr r="L47" s="1"/>
        <tr r="F50" s="1"/>
        <tr r="D57" s="1"/>
        <tr r="T66" s="1"/>
        <tr r="G70" s="1"/>
        <tr r="S70" s="1"/>
        <tr r="E44" s="1"/>
        <tr r="C46" s="1"/>
        <tr r="S47" s="1"/>
        <tr r="E51" s="1"/>
        <tr r="L58" s="1"/>
        <tr r="S67" s="1"/>
        <tr r="L42" s="1"/>
        <tr r="F44" s="1"/>
        <tr r="D46" s="1"/>
        <tr r="B48" s="1"/>
        <tr r="F51" s="1"/>
        <tr r="M58" s="1"/>
        <tr r="T67" s="1"/>
        <tr r="M42" s="1"/>
        <tr r="G44" s="1"/>
        <tr r="E46" s="1"/>
        <tr r="C48" s="1"/>
        <tr r="G51" s="1"/>
        <tr r="L59" s="1"/>
        <tr r="B68" s="1"/>
        <tr r="N42" s="1"/>
        <tr r="L44" s="1"/>
        <tr r="F46" s="1"/>
        <tr r="D48" s="1"/>
        <tr r="B52" s="1"/>
        <tr r="M59" s="1"/>
        <tr r="C68" s="1"/>
        <tr r="O42" s="1"/>
        <tr r="M44" s="1"/>
        <tr r="G46" s="1"/>
        <tr r="E48" s="1"/>
        <tr r="C52" s="1"/>
        <tr r="L60" s="1"/>
        <tr r="D68" s="1"/>
        <tr r="P42" s="1"/>
        <tr r="N44" s="1"/>
        <tr r="L46" s="1"/>
        <tr r="F48" s="1"/>
        <tr r="D52" s="1"/>
        <tr r="M60" s="1"/>
        <tr r="G68" s="1"/>
        <tr r="S42" s="1"/>
        <tr r="O44" s="1"/>
        <tr r="M46" s="1"/>
        <tr r="G48" s="1"/>
        <tr r="E52" s="1"/>
        <tr r="B65" s="1"/>
        <tr r="S68" s="1"/>
        <tr r="A4" s="1"/>
        <tr r="B43" s="1"/>
        <tr r="P44" s="1"/>
        <tr r="N46" s="1"/>
        <tr r="B49" s="1"/>
        <tr r="F52" s="1"/>
        <tr r="C65" s="1"/>
        <tr r="T68" s="1"/>
        <tr r="E4" s="1"/>
        <tr r="C43" s="1"/>
        <tr r="S44" s="1"/>
        <tr r="O46" s="1"/>
        <tr r="C49" s="1"/>
        <tr r="G52" s="1"/>
        <tr r="D65" s="1"/>
        <tr r="B69" s="1"/>
        <tr r="I4" s="1"/>
        <tr r="D43" s="1"/>
        <tr r="B45" s="1"/>
        <tr r="P46" s="1"/>
        <tr r="D49" s="1"/>
        <tr r="B53" s="1"/>
        <tr r="G65" s="1"/>
        <tr r="C69" s="1"/>
        <tr r="M4" s="1"/>
        <tr r="E43" s="1"/>
        <tr r="C45" s="1"/>
        <tr r="S46" s="1"/>
        <tr r="E49" s="1"/>
        <tr r="C53" s="1"/>
        <tr r="S65" s="1"/>
        <tr r="D69" s="1"/>
        <tr r="A7" s="1"/>
        <tr r="F43" s="1"/>
        <tr r="D45" s="1"/>
        <tr r="B47" s="1"/>
        <tr r="F49" s="1"/>
        <tr r="D53" s="1"/>
        <tr r="T65" s="1"/>
        <tr r="G69" s="1"/>
        <tr r="E7" s="1"/>
        <tr r="G43" s="1"/>
        <tr r="E45" s="1"/>
        <tr r="C47" s="1"/>
        <tr r="G49" s="1"/>
        <tr r="E53" s="1"/>
        <tr r="B66" s="1"/>
        <tr r="S69" s="1"/>
        <tr r="I7" s="1"/>
        <tr r="L43" s="1"/>
        <tr r="F45" s="1"/>
        <tr r="D47" s="1"/>
        <tr r="B50" s="1"/>
        <tr r="F53" s="1"/>
        <tr r="C66" s="1"/>
        <tr r="T69" s="1"/>
        <tr r="M7" s="1"/>
        <tr r="M7" s="1"/>
        <tr r="M43" s="1"/>
        <tr r="G45" s="1"/>
        <tr r="E47" s="1"/>
        <tr r="C50" s="1"/>
        <tr r="G53" s="1"/>
        <tr r="D66" s="1"/>
        <tr r="B70" s="1"/>
        <tr r="C42" s="1"/>
        <tr r="S43" s="1"/>
        <tr r="O45" s="1"/>
        <tr r="M47" s="1"/>
        <tr r="G50" s="1"/>
        <tr r="E57" s="1"/>
        <tr r="B67" s="1"/>
        <tr r="D42" s="1"/>
        <tr r="B44" s="1"/>
        <tr r="P45" s="1"/>
        <tr r="N47" s="1"/>
        <tr r="B51" s="1"/>
        <tr r="F57" s="1"/>
        <tr r="C67" s="1"/>
        <tr r="T7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Funnel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Gross Sales ($m)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Sheet1!$B$42:$B$53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B-4CB5-BACA-134EF2CB425A}"/>
            </c:ext>
          </c:extLst>
        </c:ser>
        <c:ser>
          <c:idx val="1"/>
          <c:order val="1"/>
          <c:tx>
            <c:strRef>
              <c:f>Sheet1!$C$41</c:f>
              <c:strCache>
                <c:ptCount val="1"/>
                <c:pt idx="0">
                  <c:v>Discount 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Sheet1!$C$42:$C$53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B-4CB5-BACA-134EF2CB425A}"/>
            </c:ext>
          </c:extLst>
        </c:ser>
        <c:ser>
          <c:idx val="2"/>
          <c:order val="2"/>
          <c:tx>
            <c:strRef>
              <c:f>Sheet1!$D$41</c:f>
              <c:strCache>
                <c:ptCount val="1"/>
                <c:pt idx="0">
                  <c:v>Net Sales ($m)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rgbClr val="649B3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649B3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3B-4CB5-BACA-134EF2CB425A}"/>
              </c:ext>
            </c:extLst>
          </c:dPt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Sheet1!$D$42:$D$53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B-4CB5-BACA-134EF2CB425A}"/>
            </c:ext>
          </c:extLst>
        </c:ser>
        <c:ser>
          <c:idx val="3"/>
          <c:order val="3"/>
          <c:tx>
            <c:strRef>
              <c:f>Sheet1!$E$41</c:f>
              <c:strCache>
                <c:ptCount val="1"/>
                <c:pt idx="0">
                  <c:v>Net Profit ($m)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Sheet1!$E$42:$E$53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B-4CB5-BACA-134EF2CB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79951"/>
        <c:axId val="1727267471"/>
      </c:lineChart>
      <c:catAx>
        <c:axId val="172727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7471"/>
        <c:crosses val="autoZero"/>
        <c:auto val="1"/>
        <c:lblAlgn val="ctr"/>
        <c:lblOffset val="100"/>
        <c:noMultiLvlLbl val="1"/>
      </c:catAx>
      <c:valAx>
        <c:axId val="1727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Sales &amp; Profit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Sheet1!$L$41</c:f>
              <c:strCache>
                <c:ptCount val="1"/>
                <c:pt idx="0">
                  <c:v>Gross Sales ($m)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Sheet1!$L$42:$L$47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CB7-9463-4EC5DFB2478F}"/>
            </c:ext>
          </c:extLst>
        </c:ser>
        <c:ser>
          <c:idx val="1"/>
          <c:order val="1"/>
          <c:tx>
            <c:strRef>
              <c:f>Sheet1!$M$41</c:f>
              <c:strCache>
                <c:ptCount val="1"/>
                <c:pt idx="0">
                  <c:v>Discount ($m)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Sheet1!$M$42:$M$47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3-4CB7-9463-4EC5DFB2478F}"/>
            </c:ext>
          </c:extLst>
        </c:ser>
        <c:ser>
          <c:idx val="2"/>
          <c:order val="2"/>
          <c:tx>
            <c:strRef>
              <c:f>Sheet1!$N$41</c:f>
              <c:strCache>
                <c:ptCount val="1"/>
                <c:pt idx="0">
                  <c:v>Net Sales ($m)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A73-4CB7-9463-4EC5DFB247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A73-4CB7-9463-4EC5DFB247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73-4CB7-9463-4EC5DFB247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73-4CB7-9463-4EC5DFB247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A73-4CB7-9463-4EC5DFB2478F}"/>
              </c:ext>
            </c:extLst>
          </c:dPt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Sheet1!$N$42:$N$47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3-4CB7-9463-4EC5DFB2478F}"/>
            </c:ext>
          </c:extLst>
        </c:ser>
        <c:ser>
          <c:idx val="3"/>
          <c:order val="3"/>
          <c:tx>
            <c:strRef>
              <c:f>Sheet1!$O$41</c:f>
              <c:strCache>
                <c:ptCount val="1"/>
                <c:pt idx="0">
                  <c:v>Net Profit ($m)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Sheet1!$O$42:$O$47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73-4CB7-9463-4EC5DFB2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7274191"/>
        <c:axId val="1727274671"/>
      </c:barChart>
      <c:catAx>
        <c:axId val="172727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671"/>
        <c:crosses val="autoZero"/>
        <c:auto val="1"/>
        <c:lblAlgn val="ctr"/>
        <c:lblOffset val="100"/>
        <c:noMultiLvlLbl val="0"/>
      </c:catAx>
      <c:valAx>
        <c:axId val="1727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Profit and Gross Sales by Product Class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Sheet1!$S$64</c:f>
              <c:strCache>
                <c:ptCount val="1"/>
                <c:pt idx="0">
                  <c:v>Net Profit ($m)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Sheet1!$S$65:$S$70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2-4F54-A62E-8F4C29D6F2B6}"/>
            </c:ext>
          </c:extLst>
        </c:ser>
        <c:ser>
          <c:idx val="1"/>
          <c:order val="1"/>
          <c:tx>
            <c:strRef>
              <c:f>Sheet1!$T$64</c:f>
              <c:strCache>
                <c:ptCount val="1"/>
                <c:pt idx="0">
                  <c:v>Gross Sales ($m)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Sheet1!$T$65:$T$70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2-4F54-A62E-8F4C29D6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86671"/>
        <c:axId val="1727284751"/>
      </c:barChart>
      <c:catAx>
        <c:axId val="1727286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 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4751"/>
        <c:crosses val="autoZero"/>
        <c:auto val="1"/>
        <c:lblAlgn val="ctr"/>
        <c:lblOffset val="100"/>
        <c:noMultiLvlLbl val="0"/>
      </c:catAx>
      <c:valAx>
        <c:axId val="1727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by Quarter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Sheet1!$L$56</c:f>
              <c:strCache>
                <c:ptCount val="1"/>
                <c:pt idx="0">
                  <c:v>Net Sales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4B-4281-BDBD-ECFA83077D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B-4281-BDBD-ECFA83077D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4B-4281-BDBD-ECFA83077D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B-4281-BDBD-ECFA83077DE9}"/>
              </c:ext>
            </c:extLst>
          </c:dPt>
          <c:cat>
            <c:strRef>
              <c:f>Sheet1!$K$57:$K$60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Sheet1!$L$57:$L$60</c:f>
              <c:numCache>
                <c:formatCode>"£"0.0"m"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B-4281-BDBD-ECFA8307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47311"/>
        <c:axId val="1727243471"/>
      </c:barChart>
      <c:catAx>
        <c:axId val="1727247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3471"/>
        <c:crosses val="autoZero"/>
        <c:auto val="1"/>
        <c:lblAlgn val="ctr"/>
        <c:lblOffset val="100"/>
        <c:noMultiLvlLbl val="0"/>
      </c:catAx>
      <c:valAx>
        <c:axId val="172724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This:</c:v>
                </c:pt>
              </c:strCache>
            </c:strRef>
          </c:tx>
          <c:spPr>
            <a:solidFill>
              <a:srgbClr val="649B3F"/>
            </a:solidFill>
            <a:ln>
              <a:noFill/>
            </a:ln>
            <a:effectLst/>
          </c:spPr>
          <c:invertIfNegative val="0"/>
          <c:val>
            <c:numRef>
              <c:f>Sheet2!$B$4:$B$7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0-41EE-8CCD-8EFC81C02AF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Plus this: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Sheet2!$C$4:$C$7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0-41EE-8CCD-8EFC81C0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253551"/>
        <c:axId val="1727268911"/>
      </c:barChart>
      <c:catAx>
        <c:axId val="1727253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8911"/>
        <c:crosses val="autoZero"/>
        <c:auto val="1"/>
        <c:lblAlgn val="ctr"/>
        <c:lblOffset val="100"/>
        <c:noMultiLvlLbl val="0"/>
      </c:catAx>
      <c:valAx>
        <c:axId val="17272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5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</xdr:rowOff>
    </xdr:from>
    <xdr:to>
      <xdr:col>7</xdr:col>
      <xdr:colOff>1039585</xdr:colOff>
      <xdr:row>22</xdr:row>
      <xdr:rowOff>0</xdr:rowOff>
    </xdr:to>
    <xdr:graphicFrame macro="">
      <xdr:nvGraphicFramePr>
        <xdr:cNvPr id="2" name="cht_monthly_sales_funnel">
          <a:extLst>
            <a:ext uri="{FF2B5EF4-FFF2-40B4-BE49-F238E27FC236}">
              <a16:creationId xmlns:a16="http://schemas.microsoft.com/office/drawing/2014/main" id="{8873554D-E4D8-09C4-B98E-2FC51128C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1039585</xdr:colOff>
      <xdr:row>9</xdr:row>
      <xdr:rowOff>1</xdr:rowOff>
    </xdr:from>
    <xdr:to>
      <xdr:col>15</xdr:col>
      <xdr:colOff>1039584</xdr:colOff>
      <xdr:row>22</xdr:row>
      <xdr:rowOff>0</xdr:rowOff>
    </xdr:to>
    <xdr:graphicFrame macro="">
      <xdr:nvGraphicFramePr>
        <xdr:cNvPr id="3" name="cht_category_performance">
          <a:extLst>
            <a:ext uri="{FF2B5EF4-FFF2-40B4-BE49-F238E27FC236}">
              <a16:creationId xmlns:a16="http://schemas.microsoft.com/office/drawing/2014/main" id="{C7A27C80-3F47-09AB-303C-8B95291DE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1039585</xdr:colOff>
      <xdr:row>22</xdr:row>
      <xdr:rowOff>1</xdr:rowOff>
    </xdr:from>
    <xdr:to>
      <xdr:col>15</xdr:col>
      <xdr:colOff>1039584</xdr:colOff>
      <xdr:row>35</xdr:row>
      <xdr:rowOff>1</xdr:rowOff>
    </xdr:to>
    <xdr:graphicFrame macro="">
      <xdr:nvGraphicFramePr>
        <xdr:cNvPr id="5" name="cht_promotion_roi">
          <a:extLst>
            <a:ext uri="{FF2B5EF4-FFF2-40B4-BE49-F238E27FC236}">
              <a16:creationId xmlns:a16="http://schemas.microsoft.com/office/drawing/2014/main" id="{B50264DA-C472-6F7A-7567-4EED58FDC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</xdr:rowOff>
    </xdr:from>
    <xdr:to>
      <xdr:col>7</xdr:col>
      <xdr:colOff>1039585</xdr:colOff>
      <xdr:row>35</xdr:row>
      <xdr:rowOff>1</xdr:rowOff>
    </xdr:to>
    <xdr:graphicFrame macro="">
      <xdr:nvGraphicFramePr>
        <xdr:cNvPr id="6" name="cht_segment_mix">
          <a:extLst>
            <a:ext uri="{FF2B5EF4-FFF2-40B4-BE49-F238E27FC236}">
              <a16:creationId xmlns:a16="http://schemas.microsoft.com/office/drawing/2014/main" id="{343E174D-4DE6-88C4-9A7E-99D6674CB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97971</xdr:colOff>
      <xdr:row>8</xdr:row>
      <xdr:rowOff>84363</xdr:rowOff>
    </xdr:from>
    <xdr:to>
      <xdr:col>8</xdr:col>
      <xdr:colOff>97971</xdr:colOff>
      <xdr:row>23</xdr:row>
      <xdr:rowOff>51706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45292-48B0-5A4C-35E2-0E10E50A1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A865B-E1AB-4197-8276-2D73FC1567BB}" name="tbl_monthly_mock" displayName="tbl_monthly_mock" ref="A41:I53" totalsRowShown="0" headerRowDxfId="59" dataDxfId="58">
  <autoFilter ref="A41:I53" xr:uid="{26AA865B-E1AB-4197-8276-2D73FC1567BB}"/>
  <tableColumns count="9">
    <tableColumn id="1" xr3:uid="{2BB2BA82-607B-4804-847C-52351C26F5BB}" name="Month" dataDxfId="57"/>
    <tableColumn id="2" xr3:uid="{BBFEC6C6-BC68-46ED-A381-291779ED50A4}" name="Gross Sales ($m)" dataDxfId="56"/>
    <tableColumn id="3" xr3:uid="{2E95DF08-0261-4692-876E-8142B6FFE3E3}" name="Discount ($m)" dataDxfId="55"/>
    <tableColumn id="4" xr3:uid="{BE2A3553-3D25-4AFF-A866-9A0A3C150B34}" name="Net Sales ($m)" dataDxfId="54"/>
    <tableColumn id="5" xr3:uid="{68FCCE48-FC5C-4573-BA3E-1DE3CD6E0D08}" name="Net Profit ($m)" dataDxfId="53"/>
    <tableColumn id="6" xr3:uid="{36EDF0C2-D3B2-4662-98AC-E75E445486F2}" name="Gross Margin" dataDxfId="52">
      <calculatedColumnFormula>IFERROR(E42/D42,0)</calculatedColumnFormula>
    </tableColumn>
    <tableColumn id="7" xr3:uid="{2DEDBEE3-D6CA-4111-9DA5-2485E785D965}" name="Quantity (000s)" dataDxfId="51"/>
    <tableColumn id="8" xr3:uid="{E3B4E6D6-2B75-4C76-96EE-D9947CE907E9}" name="Orders (000s)" dataDxfId="50"/>
    <tableColumn id="9" xr3:uid="{91BB93C5-FFDC-4DCA-B955-AC2DDF8DEE21}" name="Customers (000s)" dataDxfId="4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954C1-F9F7-4688-958B-1C6829056A48}" name="tbl_category_mock" displayName="tbl_category_mock" ref="K41:T47" totalsRowShown="0" headerRowDxfId="48" dataDxfId="47">
  <autoFilter ref="K41:T47" xr:uid="{487954C1-F9F7-4688-958B-1C6829056A48}"/>
  <tableColumns count="10">
    <tableColumn id="1" xr3:uid="{BCE8BCFB-FA4F-446D-B270-EA095D41EFB1}" name="Category" dataDxfId="46"/>
    <tableColumn id="2" xr3:uid="{AF038D6C-03F6-4353-AB9C-E014643D7946}" name="Gross Sales ($m)" dataDxfId="45"/>
    <tableColumn id="3" xr3:uid="{8B72AA9D-95E1-4E71-810D-D128722BAF9F}" name="Discount ($m)" dataDxfId="44"/>
    <tableColumn id="4" xr3:uid="{74C5587F-2A77-4028-8918-AAFFDB3E7DE1}" name="Net Sales ($m)" dataDxfId="43"/>
    <tableColumn id="5" xr3:uid="{D6874251-A5A7-4B20-8DA7-0CB22CEF6E3A}" name="Net Profit ($m)" dataDxfId="42"/>
    <tableColumn id="6" xr3:uid="{88B006C6-DAEC-4A7E-9D76-3715609B56FF}" name="Quantity (000s)" dataDxfId="41"/>
    <tableColumn id="7" xr3:uid="{3DC644E0-88E6-4C42-B9F3-086976A0252A}" name="Orders (000s)" dataDxfId="40"/>
    <tableColumn id="8" xr3:uid="{F4FE98F8-B327-44AB-8D38-A9553884E282}" name="Customers (000s)" dataDxfId="39"/>
    <tableColumn id="9" xr3:uid="{97B53F08-D2F3-4D31-9E3C-CC0233A3DE75}" name="Gross Margin" dataDxfId="38">
      <calculatedColumnFormula>IFERROR(O42/N42,0)</calculatedColumnFormula>
    </tableColumn>
    <tableColumn id="10" xr3:uid="{AD5334F3-D24E-4378-B33C-FB21E4C96DB0}" name="Avg Ticket ($)" dataDxfId="37">
      <calculatedColumnFormula>IFERROR(N42/Q42*1000,0)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AF475-C66D-4C8A-B5B0-A43FD9F78A4B}" name="tbl_region_mock" displayName="tbl_region_mock" ref="A56:H60" totalsRowShown="0" headerRowDxfId="36" dataDxfId="35">
  <autoFilter ref="A56:H60" xr:uid="{088AF475-C66D-4C8A-B5B0-A43FD9F78A4B}"/>
  <tableColumns count="8">
    <tableColumn id="1" xr3:uid="{326029DB-EA69-40D7-BC99-6D08E01419FA}" name="Region" dataDxfId="34"/>
    <tableColumn id="2" xr3:uid="{4E6D469C-780D-48C1-8DF8-FC755063272E}" name="Gross Sales ($m)" dataDxfId="33"/>
    <tableColumn id="3" xr3:uid="{E71B67F9-7C1C-4808-B4CC-B0AA37F9A319}" name="Net Sales ($m)" dataDxfId="32"/>
    <tableColumn id="4" xr3:uid="{1D9D9339-0C82-4458-8910-7BE5EF4FAAEB}" name="Net Profit ($m)" dataDxfId="31"/>
    <tableColumn id="5" xr3:uid="{C6BD93B8-83AD-4C7A-B11D-C8AC99279D75}" name="Discount ($m)" dataDxfId="30"/>
    <tableColumn id="6" xr3:uid="{5AC210E4-24A5-465E-BA69-C815D8B17FCA}" name="Gross Margin" dataDxfId="29">
      <calculatedColumnFormula>IFERROR(D57/C57,0)</calculatedColumnFormula>
    </tableColumn>
    <tableColumn id="7" xr3:uid="{090D3675-BED3-48EB-9660-AE2A60FBAD11}" name="Orders (000s)" dataDxfId="28"/>
    <tableColumn id="8" xr3:uid="{CA953F46-F297-4112-8FF0-572DC2A3CB1B}" name="Customers (000s)" dataDxfId="27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EB99D-AB2B-408A-B02A-7795A32487FC}" name="tbl_segment_mock" displayName="tbl_segment_mock" ref="K56:Q60" totalsRowShown="0" headerRowDxfId="26" dataDxfId="25">
  <autoFilter ref="K56:Q60" xr:uid="{575EB99D-AB2B-408A-B02A-7795A32487FC}"/>
  <tableColumns count="7">
    <tableColumn id="1" xr3:uid="{45837B68-1DB0-4E92-BD91-031FB27DAE0F}" name="Customer Segment" dataDxfId="24"/>
    <tableColumn id="2" xr3:uid="{32E6DDDC-636B-40DA-9D7A-473164BD77AD}" name="Net Sales ($m)" dataDxfId="23"/>
    <tableColumn id="3" xr3:uid="{A6D08C1B-98CE-4E83-A568-B0F04E2A7035}" name="Net Profit ($m)" dataDxfId="22"/>
    <tableColumn id="4" xr3:uid="{E149B7D4-7AA3-4645-928A-65DA6929D2D8}" name="Customers (000s)" dataDxfId="21"/>
    <tableColumn id="5" xr3:uid="{BC071127-7940-41EA-AC7B-7AF68CB06539}" name="Orders (000s)" dataDxfId="20"/>
    <tableColumn id="6" xr3:uid="{CDBD31A1-16C3-41DD-B98E-8A5C01B667D7}" name="Revenue / Customer ($)" dataDxfId="19">
      <calculatedColumnFormula>IFERROR(L57/N57*1000,0)</calculatedColumnFormula>
    </tableColumn>
    <tableColumn id="7" xr3:uid="{F56D6011-9532-41DB-9A4F-203080CDB338}" name="Avg Ticket ($)" dataDxfId="18">
      <calculatedColumnFormula>IFERROR(L57/O57*1000,0)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8386-7549-462C-9B58-DDA9A0DDE155}" name="tbl_promo_mock" displayName="tbl_promo_mock" ref="A64:H70" totalsRowShown="0" headerRowDxfId="17" dataDxfId="16">
  <autoFilter ref="A64:H70" xr:uid="{EE3C8386-7549-462C-9B58-DDA9A0DDE155}"/>
  <tableColumns count="8">
    <tableColumn id="1" xr3:uid="{F779CE18-ECB2-462F-B638-9003124FE7C5}" name="Promotion Type" dataDxfId="15"/>
    <tableColumn id="2" xr3:uid="{61BD5816-72F1-4F74-8644-5653E233EEF8}" name="Net Sales ($m)" dataDxfId="14"/>
    <tableColumn id="3" xr3:uid="{9A33CA4C-979A-4FFA-9B7F-829A29848D3D}" name="Promo Cost ($m)" dataDxfId="13"/>
    <tableColumn id="4" xr3:uid="{94F7C129-3B6D-47E1-9EAC-33B4C592A9AA}" name="Discount ($m)" dataDxfId="12"/>
    <tableColumn id="5" xr3:uid="{41A3A17E-0807-4FD1-92A0-3636A463323D}" name="Orders (000s)" dataDxfId="11"/>
    <tableColumn id="6" xr3:uid="{83649FD6-56B2-407F-BDF7-5C435A2BC718}" name="Target Orders (000s)" dataDxfId="10"/>
    <tableColumn id="7" xr3:uid="{8B5E4B4D-8DCA-411D-9167-E29EF7A667CE}" name="Net Profit ($m)" dataDxfId="9"/>
    <tableColumn id="8" xr3:uid="{FC1E23DE-8ECD-48B6-AD5E-BA33D5892ACC}" name="Profit / Promo Cost" dataDxfId="8">
      <calculatedColumnFormula>IF(C65=0,0,G65/C65)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146ACC-75D7-4EAC-A165-886BB048445D}" name="tbl_model_map" displayName="tbl_model_map" ref="K64:P70" totalsRowShown="0" headerRowDxfId="7" dataDxfId="6">
  <autoFilter ref="K64:P70" xr:uid="{8E146ACC-75D7-4EAC-A165-886BB048445D}"/>
  <tableColumns count="6">
    <tableColumn id="1" xr3:uid="{7A8B457F-2150-4114-BAC7-4584E21263A2}" name="Table" dataDxfId="5"/>
    <tableColumn id="2" xr3:uid="{DC7BDAC3-6934-4F9B-A38A-C1B839BCF141}" name="Type" dataDxfId="4"/>
    <tableColumn id="3" xr3:uid="{14C6B701-07EC-4FAB-90B0-BD3BC78E62D8}" name="Primary Key" dataDxfId="3"/>
    <tableColumn id="4" xr3:uid="{9C9D5233-58C6-4955-9109-D4CB5E2FC51A}" name="Join Path" dataDxfId="2"/>
    <tableColumn id="5" xr3:uid="{DCF42674-F4A1-4FE7-8D08-A6692FBCB88F}" name="Dashboard Use" dataDxfId="1"/>
    <tableColumn id="6" xr3:uid="{3D95F40A-2883-4D14-99A1-6F8FA6248D50}" name="Not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172BF8-90CB-431C-A29C-4144992804DB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8914-44A0-43A8-BE63-7D2B80198727}">
  <dimension ref="A1:Z116"/>
  <sheetViews>
    <sheetView showGridLines="0" tabSelected="1" zoomScale="90" zoomScaleNormal="90" workbookViewId="0">
      <selection activeCell="K51" sqref="K51"/>
    </sheetView>
  </sheetViews>
  <sheetFormatPr defaultRowHeight="14.6" x14ac:dyDescent="0.4"/>
  <cols>
    <col min="1" max="1" width="16" customWidth="1"/>
    <col min="2" max="2" width="16.23046875" customWidth="1"/>
    <col min="3" max="3" width="16.61328125" customWidth="1"/>
    <col min="4" max="5" width="15.07421875" customWidth="1"/>
    <col min="6" max="6" width="19.53515625" customWidth="1"/>
    <col min="7" max="7" width="15.4609375" customWidth="1"/>
    <col min="8" max="8" width="18.69140625" customWidth="1"/>
    <col min="9" max="9" width="16.921875" customWidth="1"/>
    <col min="10" max="10" width="14.69140625" customWidth="1"/>
    <col min="11" max="11" width="18.3828125" customWidth="1"/>
    <col min="12" max="12" width="16.23046875" customWidth="1"/>
    <col min="13" max="13" width="15.07421875" customWidth="1"/>
    <col min="14" max="14" width="16.921875" customWidth="1"/>
    <col min="15" max="15" width="15.23046875" customWidth="1"/>
    <col min="16" max="16" width="22.3828125" customWidth="1"/>
    <col min="17" max="17" width="14" customWidth="1"/>
    <col min="18" max="18" width="16.921875" customWidth="1"/>
    <col min="19" max="20" width="14" customWidth="1"/>
  </cols>
  <sheetData>
    <row r="1" spans="1:26" ht="28" customHeight="1" x14ac:dyDescent="0.4">
      <c r="A1" s="32" t="s">
        <v>75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7" t="s">
        <v>5</v>
      </c>
      <c r="N1" s="30" t="s">
        <v>76</v>
      </c>
      <c r="O1" s="8"/>
      <c r="P1" s="8"/>
      <c r="Q1" s="9"/>
      <c r="R1" s="9"/>
      <c r="S1" s="9"/>
      <c r="T1" s="9"/>
      <c r="U1" s="6"/>
      <c r="V1" s="6"/>
      <c r="W1" s="6"/>
      <c r="X1" s="6"/>
      <c r="Y1" s="6"/>
      <c r="Z1" s="6"/>
    </row>
    <row r="2" spans="1:26" x14ac:dyDescent="0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9"/>
      <c r="R2" s="9"/>
      <c r="S2" s="9"/>
      <c r="T2" s="9"/>
      <c r="U2" s="6"/>
      <c r="V2" s="6"/>
      <c r="W2" s="6"/>
      <c r="X2" s="6"/>
      <c r="Y2" s="6"/>
      <c r="Z2" s="6"/>
    </row>
    <row r="3" spans="1:26" ht="24" customHeight="1" x14ac:dyDescent="0.4">
      <c r="A3" s="31" t="s">
        <v>61</v>
      </c>
      <c r="B3" s="31"/>
      <c r="C3" s="11"/>
      <c r="D3" s="11"/>
      <c r="E3" s="31" t="s">
        <v>62</v>
      </c>
      <c r="F3" s="31"/>
      <c r="G3" s="11"/>
      <c r="H3" s="11"/>
      <c r="I3" s="31" t="s">
        <v>63</v>
      </c>
      <c r="J3" s="31"/>
      <c r="K3" s="11"/>
      <c r="L3" s="11"/>
      <c r="M3" s="31" t="s">
        <v>64</v>
      </c>
      <c r="N3" s="31"/>
      <c r="O3" s="11"/>
      <c r="P3" s="11"/>
      <c r="Q3" s="9"/>
      <c r="R3" s="9"/>
      <c r="S3" s="9"/>
      <c r="T3" s="9"/>
      <c r="U3" s="6"/>
      <c r="V3" s="6"/>
      <c r="W3" s="6"/>
      <c r="X3" s="6"/>
      <c r="Y3" s="6"/>
      <c r="Z3" s="6"/>
    </row>
    <row r="4" spans="1:26" ht="24" customHeight="1" x14ac:dyDescent="0.4">
      <c r="A4" s="25" t="e">
        <f>CUBEVALUE("TessalliteTPCDS","[Measures].[net_sales]")/1000000</f>
        <v>#N/A</v>
      </c>
      <c r="B4" s="11"/>
      <c r="C4" s="11"/>
      <c r="D4" s="11"/>
      <c r="E4" s="25" t="e">
        <f>CUBEVALUE("TessalliteTPCDS","[Measures].[net_profit]")/1000000</f>
        <v>#N/A</v>
      </c>
      <c r="F4" s="11"/>
      <c r="G4" s="11"/>
      <c r="H4" s="11"/>
      <c r="I4" s="27" t="e">
        <f>CUBEVALUE("TessalliteTPCDS","[Measures].[gross_margin]")</f>
        <v>#N/A</v>
      </c>
      <c r="J4" s="11"/>
      <c r="K4" s="11"/>
      <c r="L4" s="11"/>
      <c r="M4" s="28" t="e">
        <f>CUBEVALUE("TessalliteTPCDS","[Measures].[average_ticket]")</f>
        <v>#N/A</v>
      </c>
      <c r="N4" s="11"/>
      <c r="O4" s="11"/>
      <c r="P4" s="11"/>
      <c r="Q4" s="9"/>
      <c r="R4" s="9"/>
      <c r="S4" s="9"/>
      <c r="T4" s="9"/>
      <c r="U4" s="6"/>
      <c r="V4" s="6"/>
      <c r="W4" s="6"/>
      <c r="X4" s="6"/>
      <c r="Y4" s="6"/>
      <c r="Z4" s="6"/>
    </row>
    <row r="5" spans="1:26" ht="24" customHeight="1" x14ac:dyDescent="0.4">
      <c r="A5" s="23"/>
      <c r="B5" s="24"/>
      <c r="C5" s="24"/>
      <c r="D5" s="24"/>
      <c r="E5" s="23"/>
      <c r="F5" s="24"/>
      <c r="G5" s="24"/>
      <c r="H5" s="24"/>
      <c r="I5" s="23"/>
      <c r="J5" s="24"/>
      <c r="K5" s="24"/>
      <c r="L5" s="24"/>
      <c r="M5" s="23"/>
      <c r="N5" s="11"/>
      <c r="O5" s="11"/>
      <c r="P5" s="11"/>
      <c r="Q5" s="9"/>
      <c r="R5" s="9"/>
      <c r="S5" s="9"/>
      <c r="T5" s="9"/>
      <c r="U5" s="6"/>
      <c r="V5" s="6"/>
      <c r="W5" s="6"/>
      <c r="X5" s="6"/>
      <c r="Y5" s="6"/>
      <c r="Z5" s="6"/>
    </row>
    <row r="6" spans="1:26" ht="24" customHeight="1" x14ac:dyDescent="0.4">
      <c r="A6" s="31" t="s">
        <v>65</v>
      </c>
      <c r="B6" s="31"/>
      <c r="C6" s="29"/>
      <c r="D6" s="29"/>
      <c r="E6" s="31" t="s">
        <v>66</v>
      </c>
      <c r="F6" s="31"/>
      <c r="G6" s="29"/>
      <c r="H6" s="29"/>
      <c r="I6" s="31" t="s">
        <v>67</v>
      </c>
      <c r="J6" s="31"/>
      <c r="K6" s="29"/>
      <c r="L6" s="29"/>
      <c r="M6" s="31" t="s">
        <v>68</v>
      </c>
      <c r="N6" s="31"/>
      <c r="O6" s="11"/>
      <c r="P6" s="11"/>
      <c r="Q6" s="9"/>
      <c r="R6" s="9"/>
      <c r="S6" s="9"/>
      <c r="T6" s="9"/>
      <c r="U6" s="6"/>
      <c r="V6" s="6"/>
      <c r="W6" s="6"/>
      <c r="X6" s="6"/>
      <c r="Y6" s="6"/>
      <c r="Z6" s="6"/>
    </row>
    <row r="7" spans="1:26" ht="24" customHeight="1" x14ac:dyDescent="0.4">
      <c r="A7" s="26" t="e">
        <f>CUBEVALUE("TessalliteTPCDS","[Measures].[order_count]")/1000</f>
        <v>#N/A</v>
      </c>
      <c r="B7" s="11"/>
      <c r="C7" s="11"/>
      <c r="D7" s="11"/>
      <c r="E7" s="26" t="e">
        <f>CUBEVALUE("TessalliteTPCDS","[Measures].[customer_count]")/1000</f>
        <v>#N/A</v>
      </c>
      <c r="F7" s="11"/>
      <c r="G7" s="11"/>
      <c r="H7" s="11"/>
      <c r="I7" s="28" t="e">
        <f>CUBEVALUE("TessalliteTPCDS","[Measures].[revenue_per_customer]")</f>
        <v>#N/A</v>
      </c>
      <c r="J7" s="11"/>
      <c r="K7" s="11"/>
      <c r="L7" s="11"/>
      <c r="M7" s="27" t="e">
        <f>CUBEVALUE("TessalliteTPCDS","[Measures].[discount_amount]")/CUBEVALUE("TessalliteTPCDS","[Measures].[gross_sales]")</f>
        <v>#N/A</v>
      </c>
      <c r="N7" s="11"/>
      <c r="O7" s="11"/>
      <c r="P7" s="11"/>
      <c r="Q7" s="9"/>
      <c r="R7" s="9"/>
      <c r="S7" s="9"/>
      <c r="T7" s="9"/>
      <c r="U7" s="6"/>
      <c r="V7" s="6"/>
      <c r="W7" s="6"/>
      <c r="X7" s="6"/>
      <c r="Y7" s="6"/>
      <c r="Z7" s="6"/>
    </row>
    <row r="8" spans="1:26" ht="24" customHeight="1" x14ac:dyDescent="0.4">
      <c r="A8" s="23"/>
      <c r="B8" s="24"/>
      <c r="C8" s="24"/>
      <c r="D8" s="24"/>
      <c r="E8" s="23"/>
      <c r="F8" s="24"/>
      <c r="G8" s="24"/>
      <c r="H8" s="24"/>
      <c r="I8" s="23"/>
      <c r="J8" s="24"/>
      <c r="K8" s="24"/>
      <c r="L8" s="24"/>
      <c r="M8" s="23"/>
      <c r="N8" s="11"/>
      <c r="O8" s="11"/>
      <c r="P8" s="11"/>
      <c r="Q8" s="9"/>
      <c r="R8" s="9"/>
      <c r="S8" s="9"/>
      <c r="T8" s="9"/>
      <c r="U8" s="6"/>
      <c r="V8" s="6"/>
      <c r="W8" s="6"/>
      <c r="X8" s="6"/>
      <c r="Y8" s="6"/>
      <c r="Z8" s="6"/>
    </row>
    <row r="9" spans="1:26" x14ac:dyDescent="0.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"/>
      <c r="R9" s="9"/>
      <c r="S9" s="9"/>
      <c r="T9" s="9"/>
      <c r="U9" s="6"/>
      <c r="V9" s="6"/>
      <c r="W9" s="6"/>
      <c r="X9" s="6"/>
      <c r="Y9" s="6"/>
      <c r="Z9" s="6"/>
    </row>
    <row r="10" spans="1:26" x14ac:dyDescent="0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  <c r="R10" s="9"/>
      <c r="S10" s="9"/>
      <c r="T10" s="9"/>
      <c r="U10" s="6"/>
      <c r="V10" s="6"/>
      <c r="W10" s="6"/>
      <c r="X10" s="6"/>
      <c r="Y10" s="6"/>
      <c r="Z10" s="6"/>
    </row>
    <row r="11" spans="1:26" x14ac:dyDescent="0.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  <c r="R11" s="9"/>
      <c r="S11" s="9"/>
      <c r="T11" s="9"/>
      <c r="U11" s="6"/>
      <c r="V11" s="6"/>
      <c r="W11" s="6"/>
      <c r="X11" s="6"/>
      <c r="Y11" s="6"/>
      <c r="Z11" s="6"/>
    </row>
    <row r="12" spans="1:26" x14ac:dyDescent="0.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"/>
      <c r="R12" s="9"/>
      <c r="S12" s="9"/>
      <c r="T12" s="9"/>
      <c r="U12" s="6"/>
      <c r="V12" s="6"/>
      <c r="W12" s="6"/>
      <c r="X12" s="6"/>
      <c r="Y12" s="6"/>
      <c r="Z12" s="6"/>
    </row>
    <row r="13" spans="1:26" x14ac:dyDescent="0.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/>
      <c r="R13" s="9"/>
      <c r="S13" s="9"/>
      <c r="T13" s="9"/>
      <c r="U13" s="6"/>
      <c r="V13" s="6"/>
      <c r="W13" s="6"/>
      <c r="X13" s="6"/>
      <c r="Y13" s="6"/>
      <c r="Z13" s="6"/>
    </row>
    <row r="14" spans="1:26" x14ac:dyDescent="0.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/>
      <c r="R14" s="9"/>
      <c r="S14" s="9"/>
      <c r="T14" s="9"/>
      <c r="U14" s="6"/>
      <c r="V14" s="6"/>
      <c r="W14" s="6"/>
      <c r="X14" s="6"/>
      <c r="Y14" s="6"/>
      <c r="Z14" s="6"/>
    </row>
    <row r="15" spans="1:26" x14ac:dyDescent="0.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/>
      <c r="R15" s="9"/>
      <c r="S15" s="9"/>
      <c r="T15" s="9"/>
      <c r="U15" s="6"/>
      <c r="V15" s="6"/>
      <c r="W15" s="6"/>
      <c r="X15" s="6"/>
      <c r="Y15" s="6"/>
      <c r="Z15" s="6"/>
    </row>
    <row r="16" spans="1:26" x14ac:dyDescent="0.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9"/>
      <c r="R16" s="9"/>
      <c r="S16" s="9"/>
      <c r="T16" s="9"/>
      <c r="U16" s="6"/>
      <c r="V16" s="6"/>
      <c r="W16" s="6"/>
      <c r="X16" s="6"/>
      <c r="Y16" s="6"/>
      <c r="Z16" s="6"/>
    </row>
    <row r="17" spans="1:26" x14ac:dyDescent="0.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9"/>
      <c r="R17" s="9"/>
      <c r="S17" s="9"/>
      <c r="T17" s="9"/>
      <c r="U17" s="6"/>
      <c r="V17" s="6"/>
      <c r="W17" s="6"/>
      <c r="X17" s="6"/>
      <c r="Y17" s="6"/>
      <c r="Z17" s="6"/>
    </row>
    <row r="18" spans="1:26" x14ac:dyDescent="0.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"/>
      <c r="R18" s="9"/>
      <c r="S18" s="9"/>
      <c r="T18" s="9"/>
      <c r="U18" s="6"/>
      <c r="V18" s="6"/>
      <c r="W18" s="6"/>
      <c r="X18" s="6"/>
      <c r="Y18" s="6"/>
      <c r="Z18" s="6"/>
    </row>
    <row r="19" spans="1:26" x14ac:dyDescent="0.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/>
      <c r="R19" s="9"/>
      <c r="S19" s="9"/>
      <c r="T19" s="9"/>
      <c r="U19" s="6"/>
      <c r="V19" s="6"/>
      <c r="W19" s="6"/>
      <c r="X19" s="6"/>
      <c r="Y19" s="6"/>
      <c r="Z19" s="6"/>
    </row>
    <row r="20" spans="1:26" x14ac:dyDescent="0.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9"/>
      <c r="R20" s="9"/>
      <c r="S20" s="9"/>
      <c r="T20" s="9"/>
      <c r="U20" s="6"/>
      <c r="V20" s="6"/>
      <c r="W20" s="6"/>
      <c r="X20" s="6"/>
      <c r="Y20" s="6"/>
      <c r="Z20" s="6"/>
    </row>
    <row r="21" spans="1:26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9"/>
      <c r="R21" s="9"/>
      <c r="S21" s="9"/>
      <c r="T21" s="9"/>
      <c r="U21" s="6"/>
      <c r="V21" s="6"/>
      <c r="W21" s="6"/>
      <c r="X21" s="6"/>
      <c r="Y21" s="6"/>
      <c r="Z21" s="6"/>
    </row>
    <row r="22" spans="1:26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9"/>
      <c r="R22" s="9"/>
      <c r="S22" s="9"/>
      <c r="T22" s="9"/>
      <c r="U22" s="6"/>
      <c r="V22" s="6"/>
      <c r="W22" s="6"/>
      <c r="X22" s="6"/>
      <c r="Y22" s="6"/>
      <c r="Z22" s="6"/>
    </row>
    <row r="23" spans="1:26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9"/>
      <c r="R23" s="9"/>
      <c r="S23" s="9"/>
      <c r="T23" s="9"/>
      <c r="U23" s="6"/>
      <c r="V23" s="6"/>
      <c r="W23" s="6"/>
      <c r="X23" s="6"/>
      <c r="Y23" s="6"/>
      <c r="Z23" s="6"/>
    </row>
    <row r="24" spans="1:26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9"/>
      <c r="R24" s="9"/>
      <c r="S24" s="9"/>
      <c r="T24" s="9"/>
      <c r="U24" s="6"/>
      <c r="V24" s="6"/>
      <c r="W24" s="6"/>
      <c r="X24" s="6"/>
      <c r="Y24" s="6"/>
      <c r="Z24" s="6"/>
    </row>
    <row r="25" spans="1:26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/>
      <c r="R25" s="9"/>
      <c r="S25" s="9"/>
      <c r="T25" s="9"/>
      <c r="U25" s="6"/>
      <c r="V25" s="6"/>
      <c r="W25" s="6"/>
      <c r="X25" s="6"/>
      <c r="Y25" s="6"/>
      <c r="Z25" s="6"/>
    </row>
    <row r="26" spans="1:26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9"/>
      <c r="R26" s="9"/>
      <c r="S26" s="9"/>
      <c r="T26" s="9"/>
      <c r="U26" s="6"/>
      <c r="V26" s="6"/>
      <c r="W26" s="6"/>
      <c r="X26" s="6"/>
      <c r="Y26" s="6"/>
      <c r="Z26" s="6"/>
    </row>
    <row r="27" spans="1:26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9"/>
      <c r="R27" s="9"/>
      <c r="S27" s="9"/>
      <c r="T27" s="9"/>
      <c r="U27" s="6"/>
      <c r="V27" s="6"/>
      <c r="W27" s="6"/>
      <c r="X27" s="6"/>
      <c r="Y27" s="6"/>
      <c r="Z27" s="6"/>
    </row>
    <row r="28" spans="1:26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/>
      <c r="R28" s="9"/>
      <c r="S28" s="9"/>
      <c r="T28" s="9"/>
      <c r="U28" s="6"/>
      <c r="V28" s="6"/>
      <c r="W28" s="6"/>
      <c r="X28" s="6"/>
      <c r="Y28" s="6"/>
      <c r="Z28" s="6"/>
    </row>
    <row r="29" spans="1:26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9"/>
      <c r="R29" s="9"/>
      <c r="S29" s="9"/>
      <c r="T29" s="9"/>
      <c r="U29" s="6"/>
      <c r="V29" s="6"/>
      <c r="W29" s="6"/>
      <c r="X29" s="6"/>
      <c r="Y29" s="6"/>
      <c r="Z29" s="6"/>
    </row>
    <row r="30" spans="1:26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9"/>
      <c r="R30" s="9"/>
      <c r="S30" s="9"/>
      <c r="T30" s="9"/>
      <c r="U30" s="6"/>
      <c r="V30" s="6"/>
      <c r="W30" s="6"/>
      <c r="X30" s="6"/>
      <c r="Y30" s="6"/>
      <c r="Z30" s="6"/>
    </row>
    <row r="31" spans="1:26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9"/>
      <c r="R31" s="9"/>
      <c r="S31" s="9"/>
      <c r="T31" s="9"/>
      <c r="U31" s="6"/>
      <c r="V31" s="6"/>
      <c r="W31" s="6"/>
      <c r="X31" s="6"/>
      <c r="Y31" s="6"/>
      <c r="Z31" s="6"/>
    </row>
    <row r="32" spans="1:26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9"/>
      <c r="R32" s="9"/>
      <c r="S32" s="9"/>
      <c r="T32" s="9"/>
      <c r="U32" s="6"/>
      <c r="V32" s="6"/>
      <c r="W32" s="6"/>
      <c r="X32" s="6"/>
      <c r="Y32" s="6"/>
      <c r="Z32" s="6"/>
    </row>
    <row r="33" spans="1:26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9"/>
      <c r="R33" s="9"/>
      <c r="S33" s="9"/>
      <c r="T33" s="9"/>
      <c r="U33" s="6"/>
      <c r="V33" s="6"/>
      <c r="W33" s="6"/>
      <c r="X33" s="6"/>
      <c r="Y33" s="6"/>
      <c r="Z33" s="6"/>
    </row>
    <row r="34" spans="1:26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9"/>
      <c r="R34" s="9"/>
      <c r="S34" s="9"/>
      <c r="T34" s="9"/>
      <c r="U34" s="6"/>
      <c r="V34" s="6"/>
      <c r="W34" s="6"/>
      <c r="X34" s="6"/>
      <c r="Y34" s="6"/>
      <c r="Z34" s="6"/>
    </row>
    <row r="35" spans="1:26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9"/>
      <c r="R35" s="9"/>
      <c r="S35" s="9"/>
      <c r="T35" s="9"/>
      <c r="U35" s="6"/>
      <c r="V35" s="6"/>
      <c r="W35" s="6"/>
      <c r="X35" s="6"/>
      <c r="Y35" s="6"/>
      <c r="Z35" s="6"/>
    </row>
    <row r="36" spans="1:26" ht="28" customHeight="1" x14ac:dyDescent="0.4">
      <c r="A36" s="8" t="s">
        <v>69</v>
      </c>
      <c r="B36" s="8"/>
      <c r="C36" s="8"/>
      <c r="D36" s="8"/>
      <c r="E36" s="8"/>
      <c r="F36" s="8"/>
      <c r="G36" s="8"/>
      <c r="H36" s="8"/>
      <c r="I36" s="8" t="s">
        <v>70</v>
      </c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6"/>
      <c r="V36" s="6"/>
      <c r="W36" s="6"/>
      <c r="X36" s="6"/>
      <c r="Y36" s="6"/>
      <c r="Z36" s="6"/>
    </row>
    <row r="37" spans="1:26" ht="28" customHeight="1" x14ac:dyDescent="0.4">
      <c r="A37" s="12" t="s">
        <v>71</v>
      </c>
      <c r="B37" s="12"/>
      <c r="C37" s="12"/>
      <c r="D37" s="12"/>
      <c r="E37" s="12"/>
      <c r="F37" s="12"/>
      <c r="G37" s="12"/>
      <c r="H37" s="12"/>
      <c r="I37" s="11" t="s">
        <v>72</v>
      </c>
      <c r="J37" s="13" t="e">
        <f>IF(ABS(SUM(D42:D53)-SUM(N42:N47))&lt;0.01,"PASS","FAIL")</f>
        <v>#N/A</v>
      </c>
      <c r="K37" s="11"/>
      <c r="L37" s="11"/>
      <c r="M37" s="11"/>
      <c r="N37" s="11"/>
      <c r="O37" s="11"/>
      <c r="P37" s="11"/>
      <c r="Q37" s="9"/>
      <c r="R37" s="9"/>
      <c r="S37" s="9"/>
      <c r="T37" s="9"/>
      <c r="U37" s="6"/>
      <c r="V37" s="6"/>
      <c r="W37" s="6"/>
      <c r="X37" s="6"/>
      <c r="Y37" s="6"/>
      <c r="Z37" s="6"/>
    </row>
    <row r="38" spans="1:26" ht="28" customHeight="1" x14ac:dyDescent="0.4">
      <c r="A38" s="12" t="s">
        <v>73</v>
      </c>
      <c r="B38" s="12"/>
      <c r="C38" s="12"/>
      <c r="D38" s="12"/>
      <c r="E38" s="12"/>
      <c r="F38" s="12"/>
      <c r="G38" s="12"/>
      <c r="H38" s="12"/>
      <c r="I38" s="11" t="s">
        <v>74</v>
      </c>
      <c r="J38" s="13" t="e">
        <f>IF(ABS(SUM(D42:D53)-SUM(B65:B70))&lt;0.01,"PASS","FAIL")</f>
        <v>#N/A</v>
      </c>
      <c r="K38" s="11"/>
      <c r="L38" s="11"/>
      <c r="M38" s="11"/>
      <c r="N38" s="11"/>
      <c r="O38" s="11"/>
      <c r="P38" s="11"/>
      <c r="Q38" s="9"/>
      <c r="R38" s="9"/>
      <c r="S38" s="9"/>
      <c r="T38" s="9"/>
      <c r="U38" s="6"/>
      <c r="V38" s="6"/>
      <c r="W38" s="6"/>
      <c r="X38" s="6"/>
      <c r="Y38" s="6"/>
      <c r="Z38" s="6"/>
    </row>
    <row r="39" spans="1:26" x14ac:dyDescent="0.4">
      <c r="A39" s="14" t="s">
        <v>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9"/>
      <c r="R39" s="9"/>
      <c r="S39" s="9"/>
      <c r="T39" s="9"/>
      <c r="U39" s="6"/>
      <c r="V39" s="6"/>
      <c r="W39" s="6"/>
      <c r="X39" s="6"/>
      <c r="Y39" s="6"/>
      <c r="Z39" s="6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6"/>
      <c r="V40" s="6"/>
      <c r="W40" s="6"/>
      <c r="X40" s="6"/>
      <c r="Y40" s="6"/>
      <c r="Z40" s="6"/>
    </row>
    <row r="41" spans="1:26" x14ac:dyDescent="0.4">
      <c r="A41" s="14" t="s">
        <v>7</v>
      </c>
      <c r="B41" s="14" t="s">
        <v>8</v>
      </c>
      <c r="C41" s="14" t="s">
        <v>9</v>
      </c>
      <c r="D41" s="14" t="s">
        <v>10</v>
      </c>
      <c r="E41" s="14" t="s">
        <v>11</v>
      </c>
      <c r="F41" s="14" t="s">
        <v>12</v>
      </c>
      <c r="G41" s="14" t="s">
        <v>13</v>
      </c>
      <c r="H41" s="14" t="s">
        <v>14</v>
      </c>
      <c r="I41" s="14" t="s">
        <v>15</v>
      </c>
      <c r="J41" s="9"/>
      <c r="K41" s="14" t="s">
        <v>16</v>
      </c>
      <c r="L41" s="14" t="s">
        <v>8</v>
      </c>
      <c r="M41" s="14" t="s">
        <v>9</v>
      </c>
      <c r="N41" s="14" t="s">
        <v>10</v>
      </c>
      <c r="O41" s="14" t="s">
        <v>11</v>
      </c>
      <c r="P41" s="14" t="s">
        <v>13</v>
      </c>
      <c r="Q41" s="14" t="s">
        <v>14</v>
      </c>
      <c r="R41" s="14" t="s">
        <v>15</v>
      </c>
      <c r="S41" s="14" t="s">
        <v>12</v>
      </c>
      <c r="T41" s="14" t="s">
        <v>17</v>
      </c>
      <c r="U41" s="6"/>
      <c r="V41" s="6"/>
      <c r="W41" s="6"/>
      <c r="X41" s="6"/>
      <c r="Y41" s="6"/>
      <c r="Z41" s="6"/>
    </row>
    <row r="42" spans="1:26" x14ac:dyDescent="0.4">
      <c r="A42" s="22" t="s">
        <v>77</v>
      </c>
      <c r="B42" s="15" t="e">
        <f>CUBEVALUE("TessalliteTPCDS","[Measures].[gross_sales]","[month].[month].[1]")/1000000</f>
        <v>#N/A</v>
      </c>
      <c r="C42" s="15" t="e">
        <f>CUBEVALUE("TessalliteTPCDS","[Measures].[discount_amount]","[month].[month].[1]")/1000000</f>
        <v>#N/A</v>
      </c>
      <c r="D42" s="15" t="e">
        <f>CUBEVALUE("TessalliteTPCDS","[Measures].[net_sales]","[month].[month].[1]")/1000000</f>
        <v>#N/A</v>
      </c>
      <c r="E42" s="15" t="e">
        <f>CUBEVALUE("TessalliteTPCDS","[Measures].[net_profit]","[month].[month].[1]")/1000000</f>
        <v>#N/A</v>
      </c>
      <c r="F42" s="16" t="e">
        <f>CUBEVALUE("TessalliteTPCDS","[Measures].[gross_margin]","[month].[month].[1]")</f>
        <v>#N/A</v>
      </c>
      <c r="G42" s="17" t="e">
        <f>CUBEVALUE("TessalliteTPCDS","[Measures].[quantity]","[month].[month].[1]")/1000</f>
        <v>#N/A</v>
      </c>
      <c r="H42" s="17"/>
      <c r="I42" s="17"/>
      <c r="J42" s="9"/>
      <c r="K42" s="18" t="s">
        <v>78</v>
      </c>
      <c r="L42" s="15" t="e">
        <f>CUBEVALUE("TessalliteTPCDS","[Measures].[gross_sales]","[item_category].[item_category].[Music]")/1000000</f>
        <v>#N/A</v>
      </c>
      <c r="M42" s="15" t="e">
        <f>CUBEVALUE("TessalliteTPCDS","[Measures].[discount_amount]","[item_category].[item_category].[Music]")/1000000</f>
        <v>#N/A</v>
      </c>
      <c r="N42" s="15" t="e">
        <f>CUBEVALUE("TessalliteTPCDS","[Measures].[net_sales]","[item_category].[item_category].[Music]")/1000000</f>
        <v>#N/A</v>
      </c>
      <c r="O42" s="15" t="e">
        <f>CUBEVALUE("TessalliteTPCDS","[Measures].[net_profit]","[item_category].[item_category].[Music]")/1000000</f>
        <v>#N/A</v>
      </c>
      <c r="P42" s="17" t="e">
        <f>CUBEVALUE("TessalliteTPCDS","[Measures].[quantity]","[item_category].[item_category].[Music]")/1000</f>
        <v>#N/A</v>
      </c>
      <c r="Q42" s="17"/>
      <c r="R42" s="17"/>
      <c r="S42" s="16" t="e">
        <f>CUBEVALUE("TessalliteTPCDS","[Measures].[gross_margin]","[item_category].[item_category].[Music]")</f>
        <v>#N/A</v>
      </c>
      <c r="T42" s="19"/>
      <c r="U42" s="6"/>
      <c r="V42" s="6"/>
      <c r="W42" s="6"/>
      <c r="X42" s="6"/>
      <c r="Y42" s="6"/>
      <c r="Z42" s="6"/>
    </row>
    <row r="43" spans="1:26" x14ac:dyDescent="0.4">
      <c r="A43" s="22" t="s">
        <v>79</v>
      </c>
      <c r="B43" s="15" t="e">
        <f>CUBEVALUE("TessalliteTPCDS","[Measures].[gross_sales]","[month].[month].[2]")/1000000</f>
        <v>#N/A</v>
      </c>
      <c r="C43" s="15" t="e">
        <f>CUBEVALUE("TessalliteTPCDS","[Measures].[discount_amount]","[month].[month].[2]")/1000000</f>
        <v>#N/A</v>
      </c>
      <c r="D43" s="15" t="e">
        <f>CUBEVALUE("TessalliteTPCDS","[Measures].[net_sales]","[month].[month].[2]")/1000000</f>
        <v>#N/A</v>
      </c>
      <c r="E43" s="15" t="e">
        <f>CUBEVALUE("TessalliteTPCDS","[Measures].[net_profit]","[month].[month].[2]")/1000000</f>
        <v>#N/A</v>
      </c>
      <c r="F43" s="16" t="e">
        <f>CUBEVALUE("TessalliteTPCDS","[Measures].[gross_margin]","[month].[month].[2]")</f>
        <v>#N/A</v>
      </c>
      <c r="G43" s="17" t="e">
        <f>CUBEVALUE("TessalliteTPCDS","[Measures].[quantity]","[month].[month].[2]")/1000</f>
        <v>#N/A</v>
      </c>
      <c r="H43" s="17"/>
      <c r="I43" s="17"/>
      <c r="J43" s="9"/>
      <c r="K43" s="18" t="s">
        <v>80</v>
      </c>
      <c r="L43" s="15" t="e">
        <f>CUBEVALUE("TessalliteTPCDS","[Measures].[gross_sales]","[item_category].[item_category].[Shoes]")/1000000</f>
        <v>#N/A</v>
      </c>
      <c r="M43" s="15" t="e">
        <f>CUBEVALUE("TessalliteTPCDS","[Measures].[discount_amount]","[item_category].[item_category].[Shoes]")/1000000</f>
        <v>#N/A</v>
      </c>
      <c r="N43" s="15" t="e">
        <f>CUBEVALUE("TessalliteTPCDS","[Measures].[net_sales]","[item_category].[item_category].[Shoes]")/1000000</f>
        <v>#N/A</v>
      </c>
      <c r="O43" s="15" t="e">
        <f>CUBEVALUE("TessalliteTPCDS","[Measures].[net_profit]","[item_category].[item_category].[Shoes]")/1000000</f>
        <v>#N/A</v>
      </c>
      <c r="P43" s="17" t="e">
        <f>CUBEVALUE("TessalliteTPCDS","[Measures].[quantity]","[item_category].[item_category].[Shoes]")/1000</f>
        <v>#N/A</v>
      </c>
      <c r="Q43" s="17"/>
      <c r="R43" s="17"/>
      <c r="S43" s="16" t="e">
        <f>CUBEVALUE("TessalliteTPCDS","[Measures].[gross_margin]","[item_category].[item_category].[Shoes]")</f>
        <v>#N/A</v>
      </c>
      <c r="T43" s="19"/>
      <c r="U43" s="6"/>
      <c r="V43" s="6"/>
      <c r="W43" s="6"/>
      <c r="X43" s="6"/>
      <c r="Y43" s="6"/>
      <c r="Z43" s="6"/>
    </row>
    <row r="44" spans="1:26" x14ac:dyDescent="0.4">
      <c r="A44" s="22" t="s">
        <v>81</v>
      </c>
      <c r="B44" s="15" t="e">
        <f>CUBEVALUE("TessalliteTPCDS","[Measures].[gross_sales]","[month].[month].[3]")/1000000</f>
        <v>#N/A</v>
      </c>
      <c r="C44" s="15" t="e">
        <f>CUBEVALUE("TessalliteTPCDS","[Measures].[discount_amount]","[month].[month].[3]")/1000000</f>
        <v>#N/A</v>
      </c>
      <c r="D44" s="15" t="e">
        <f>CUBEVALUE("TessalliteTPCDS","[Measures].[net_sales]","[month].[month].[3]")/1000000</f>
        <v>#N/A</v>
      </c>
      <c r="E44" s="15" t="e">
        <f>CUBEVALUE("TessalliteTPCDS","[Measures].[net_profit]","[month].[month].[3]")/1000000</f>
        <v>#N/A</v>
      </c>
      <c r="F44" s="16" t="e">
        <f>CUBEVALUE("TessalliteTPCDS","[Measures].[gross_margin]","[month].[month].[3]")</f>
        <v>#N/A</v>
      </c>
      <c r="G44" s="17" t="e">
        <f>CUBEVALUE("TessalliteTPCDS","[Measures].[quantity]","[month].[month].[3]")/1000</f>
        <v>#N/A</v>
      </c>
      <c r="H44" s="17"/>
      <c r="I44" s="17"/>
      <c r="J44" s="9"/>
      <c r="K44" s="18" t="s">
        <v>18</v>
      </c>
      <c r="L44" s="15" t="e">
        <f>CUBEVALUE("TessalliteTPCDS","[Measures].[gross_sales]","[item_category].[item_category].[Electronics]")/1000000</f>
        <v>#N/A</v>
      </c>
      <c r="M44" s="15" t="e">
        <f>CUBEVALUE("TessalliteTPCDS","[Measures].[discount_amount]","[item_category].[item_category].[Electronics]")/1000000</f>
        <v>#N/A</v>
      </c>
      <c r="N44" s="15" t="e">
        <f>CUBEVALUE("TessalliteTPCDS","[Measures].[net_sales]","[item_category].[item_category].[Electronics]")/1000000</f>
        <v>#N/A</v>
      </c>
      <c r="O44" s="15" t="e">
        <f>CUBEVALUE("TessalliteTPCDS","[Measures].[net_profit]","[item_category].[item_category].[Electronics]")/1000000</f>
        <v>#N/A</v>
      </c>
      <c r="P44" s="17" t="e">
        <f>CUBEVALUE("TessalliteTPCDS","[Measures].[quantity]","[item_category].[item_category].[Electronics]")/1000</f>
        <v>#N/A</v>
      </c>
      <c r="Q44" s="17"/>
      <c r="R44" s="17"/>
      <c r="S44" s="16" t="e">
        <f>CUBEVALUE("TessalliteTPCDS","[Measures].[gross_margin]","[item_category].[item_category].[Electronics]")</f>
        <v>#N/A</v>
      </c>
      <c r="T44" s="19"/>
      <c r="U44" s="6"/>
      <c r="V44" s="6"/>
      <c r="W44" s="6"/>
      <c r="X44" s="6"/>
      <c r="Y44" s="6"/>
      <c r="Z44" s="6"/>
    </row>
    <row r="45" spans="1:26" x14ac:dyDescent="0.4">
      <c r="A45" s="22" t="s">
        <v>82</v>
      </c>
      <c r="B45" s="15" t="e">
        <f>CUBEVALUE("TessalliteTPCDS","[Measures].[gross_sales]","[month].[month].[4]")/1000000</f>
        <v>#N/A</v>
      </c>
      <c r="C45" s="15" t="e">
        <f>CUBEVALUE("TessalliteTPCDS","[Measures].[discount_amount]","[month].[month].[4]")/1000000</f>
        <v>#N/A</v>
      </c>
      <c r="D45" s="15" t="e">
        <f>CUBEVALUE("TessalliteTPCDS","[Measures].[net_sales]","[month].[month].[4]")/1000000</f>
        <v>#N/A</v>
      </c>
      <c r="E45" s="15" t="e">
        <f>CUBEVALUE("TessalliteTPCDS","[Measures].[net_profit]","[month].[month].[4]")/1000000</f>
        <v>#N/A</v>
      </c>
      <c r="F45" s="16" t="e">
        <f>CUBEVALUE("TessalliteTPCDS","[Measures].[gross_margin]","[month].[month].[4]")</f>
        <v>#N/A</v>
      </c>
      <c r="G45" s="17" t="e">
        <f>CUBEVALUE("TessalliteTPCDS","[Measures].[quantity]","[month].[month].[4]")/1000</f>
        <v>#N/A</v>
      </c>
      <c r="H45" s="17"/>
      <c r="I45" s="17"/>
      <c r="J45" s="9"/>
      <c r="K45" s="18" t="s">
        <v>83</v>
      </c>
      <c r="L45" s="15" t="e">
        <f>CUBEVALUE("TessalliteTPCDS","[Measures].[gross_sales]","[item_category].[item_category].[Home]")/1000000</f>
        <v>#N/A</v>
      </c>
      <c r="M45" s="15" t="e">
        <f>CUBEVALUE("TessalliteTPCDS","[Measures].[discount_amount]","[item_category].[item_category].[Home]")/1000000</f>
        <v>#N/A</v>
      </c>
      <c r="N45" s="15" t="e">
        <f>CUBEVALUE("TessalliteTPCDS","[Measures].[net_sales]","[item_category].[item_category].[Home]")/1000000</f>
        <v>#N/A</v>
      </c>
      <c r="O45" s="15" t="e">
        <f>CUBEVALUE("TessalliteTPCDS","[Measures].[net_profit]","[item_category].[item_category].[Home]")/1000000</f>
        <v>#N/A</v>
      </c>
      <c r="P45" s="17" t="e">
        <f>CUBEVALUE("TessalliteTPCDS","[Measures].[quantity]","[item_category].[item_category].[Home]")/1000</f>
        <v>#N/A</v>
      </c>
      <c r="Q45" s="17"/>
      <c r="R45" s="17"/>
      <c r="S45" s="16" t="e">
        <f>CUBEVALUE("TessalliteTPCDS","[Measures].[gross_margin]","[item_category].[item_category].[Home]")</f>
        <v>#N/A</v>
      </c>
      <c r="T45" s="19"/>
      <c r="U45" s="6"/>
      <c r="V45" s="6"/>
      <c r="W45" s="6"/>
      <c r="X45" s="6"/>
      <c r="Y45" s="6"/>
      <c r="Z45" s="6"/>
    </row>
    <row r="46" spans="1:26" x14ac:dyDescent="0.4">
      <c r="A46" s="22" t="s">
        <v>84</v>
      </c>
      <c r="B46" s="15" t="e">
        <f>CUBEVALUE("TessalliteTPCDS","[Measures].[gross_sales]","[month].[month].[5]")/1000000</f>
        <v>#N/A</v>
      </c>
      <c r="C46" s="15" t="e">
        <f>CUBEVALUE("TessalliteTPCDS","[Measures].[discount_amount]","[month].[month].[5]")/1000000</f>
        <v>#N/A</v>
      </c>
      <c r="D46" s="15" t="e">
        <f>CUBEVALUE("TessalliteTPCDS","[Measures].[net_sales]","[month].[month].[5]")/1000000</f>
        <v>#N/A</v>
      </c>
      <c r="E46" s="15" t="e">
        <f>CUBEVALUE("TessalliteTPCDS","[Measures].[net_profit]","[month].[month].[5]")/1000000</f>
        <v>#N/A</v>
      </c>
      <c r="F46" s="16" t="e">
        <f>CUBEVALUE("TessalliteTPCDS","[Measures].[gross_margin]","[month].[month].[5]")</f>
        <v>#N/A</v>
      </c>
      <c r="G46" s="17" t="e">
        <f>CUBEVALUE("TessalliteTPCDS","[Measures].[quantity]","[month].[month].[5]")/1000</f>
        <v>#N/A</v>
      </c>
      <c r="H46" s="17"/>
      <c r="I46" s="17"/>
      <c r="J46" s="9"/>
      <c r="K46" s="18" t="s">
        <v>19</v>
      </c>
      <c r="L46" s="15" t="e">
        <f>CUBEVALUE("TessalliteTPCDS","[Measures].[gross_sales]","[item_category].[item_category].[Sports]")/1000000</f>
        <v>#N/A</v>
      </c>
      <c r="M46" s="15" t="e">
        <f>CUBEVALUE("TessalliteTPCDS","[Measures].[discount_amount]","[item_category].[item_category].[Sports]")/1000000</f>
        <v>#N/A</v>
      </c>
      <c r="N46" s="15" t="e">
        <f>CUBEVALUE("TessalliteTPCDS","[Measures].[net_sales]","[item_category].[item_category].[Sports]")/1000000</f>
        <v>#N/A</v>
      </c>
      <c r="O46" s="15" t="e">
        <f>CUBEVALUE("TessalliteTPCDS","[Measures].[net_profit]","[item_category].[item_category].[Sports]")/1000000</f>
        <v>#N/A</v>
      </c>
      <c r="P46" s="17" t="e">
        <f>CUBEVALUE("TessalliteTPCDS","[Measures].[quantity]","[item_category].[item_category].[Sports]")/1000</f>
        <v>#N/A</v>
      </c>
      <c r="Q46" s="17"/>
      <c r="R46" s="17"/>
      <c r="S46" s="16" t="e">
        <f>CUBEVALUE("TessalliteTPCDS","[Measures].[gross_margin]","[item_category].[item_category].[Sports]")</f>
        <v>#N/A</v>
      </c>
      <c r="T46" s="19"/>
      <c r="U46" s="6"/>
      <c r="V46" s="6"/>
      <c r="W46" s="6"/>
      <c r="X46" s="6"/>
      <c r="Y46" s="6"/>
      <c r="Z46" s="6"/>
    </row>
    <row r="47" spans="1:26" x14ac:dyDescent="0.4">
      <c r="A47" s="22" t="s">
        <v>85</v>
      </c>
      <c r="B47" s="15" t="e">
        <f>CUBEVALUE("TessalliteTPCDS","[Measures].[gross_sales]","[month].[month].[6]")/1000000</f>
        <v>#N/A</v>
      </c>
      <c r="C47" s="15" t="e">
        <f>CUBEVALUE("TessalliteTPCDS","[Measures].[discount_amount]","[month].[month].[6]")/1000000</f>
        <v>#N/A</v>
      </c>
      <c r="D47" s="15" t="e">
        <f>CUBEVALUE("TessalliteTPCDS","[Measures].[net_sales]","[month].[month].[6]")/1000000</f>
        <v>#N/A</v>
      </c>
      <c r="E47" s="15" t="e">
        <f>CUBEVALUE("TessalliteTPCDS","[Measures].[net_profit]","[month].[month].[6]")/1000000</f>
        <v>#N/A</v>
      </c>
      <c r="F47" s="16" t="e">
        <f>CUBEVALUE("TessalliteTPCDS","[Measures].[gross_margin]","[month].[month].[6]")</f>
        <v>#N/A</v>
      </c>
      <c r="G47" s="17" t="e">
        <f>CUBEVALUE("TessalliteTPCDS","[Measures].[quantity]","[month].[month].[6]")/1000</f>
        <v>#N/A</v>
      </c>
      <c r="H47" s="17"/>
      <c r="I47" s="17"/>
      <c r="J47" s="9"/>
      <c r="K47" s="18" t="s">
        <v>86</v>
      </c>
      <c r="L47" s="15" t="e">
        <f>CUBEVALUE("TessalliteTPCDS","[Measures].[gross_sales]","[item_category].[item_category].[Women]")/1000000</f>
        <v>#N/A</v>
      </c>
      <c r="M47" s="15" t="e">
        <f>CUBEVALUE("TessalliteTPCDS","[Measures].[discount_amount]","[item_category].[item_category].[Women]")/1000000</f>
        <v>#N/A</v>
      </c>
      <c r="N47" s="15" t="e">
        <f>CUBEVALUE("TessalliteTPCDS","[Measures].[net_sales]","[item_category].[item_category].[Women]")/1000000</f>
        <v>#N/A</v>
      </c>
      <c r="O47" s="15" t="e">
        <f>CUBEVALUE("TessalliteTPCDS","[Measures].[net_profit]","[item_category].[item_category].[Women]")/1000000</f>
        <v>#N/A</v>
      </c>
      <c r="P47" s="17" t="e">
        <f>CUBEVALUE("TessalliteTPCDS","[Measures].[quantity]","[item_category].[item_category].[Women]")/1000</f>
        <v>#N/A</v>
      </c>
      <c r="Q47" s="17"/>
      <c r="R47" s="17"/>
      <c r="S47" s="16" t="e">
        <f>CUBEVALUE("TessalliteTPCDS","[Measures].[gross_margin]","[item_category].[item_category].[Women]")</f>
        <v>#N/A</v>
      </c>
      <c r="T47" s="19"/>
      <c r="U47" s="6"/>
      <c r="V47" s="6"/>
      <c r="W47" s="6"/>
      <c r="X47" s="6"/>
      <c r="Y47" s="6"/>
      <c r="Z47" s="6"/>
    </row>
    <row r="48" spans="1:26" x14ac:dyDescent="0.4">
      <c r="A48" s="22" t="s">
        <v>87</v>
      </c>
      <c r="B48" s="15" t="e">
        <f>CUBEVALUE("TessalliteTPCDS","[Measures].[gross_sales]","[month].[month].[7]")/1000000</f>
        <v>#N/A</v>
      </c>
      <c r="C48" s="15" t="e">
        <f>CUBEVALUE("TessalliteTPCDS","[Measures].[discount_amount]","[month].[month].[7]")/1000000</f>
        <v>#N/A</v>
      </c>
      <c r="D48" s="15" t="e">
        <f>CUBEVALUE("TessalliteTPCDS","[Measures].[net_sales]","[month].[month].[7]")/1000000</f>
        <v>#N/A</v>
      </c>
      <c r="E48" s="15" t="e">
        <f>CUBEVALUE("TessalliteTPCDS","[Measures].[net_profit]","[month].[month].[7]")/1000000</f>
        <v>#N/A</v>
      </c>
      <c r="F48" s="16" t="e">
        <f>CUBEVALUE("TessalliteTPCDS","[Measures].[gross_margin]","[month].[month].[7]")</f>
        <v>#N/A</v>
      </c>
      <c r="G48" s="17" t="e">
        <f>CUBEVALUE("TessalliteTPCDS","[Measures].[quantity]","[month].[month].[7]")/1000</f>
        <v>#N/A</v>
      </c>
      <c r="H48" s="17"/>
      <c r="I48" s="17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6"/>
      <c r="V48" s="6"/>
      <c r="W48" s="6"/>
      <c r="X48" s="6"/>
      <c r="Y48" s="6"/>
      <c r="Z48" s="6"/>
    </row>
    <row r="49" spans="1:26" x14ac:dyDescent="0.4">
      <c r="A49" s="22" t="s">
        <v>88</v>
      </c>
      <c r="B49" s="15" t="e">
        <f>CUBEVALUE("TessalliteTPCDS","[Measures].[gross_sales]","[month].[month].[8]")/1000000</f>
        <v>#N/A</v>
      </c>
      <c r="C49" s="15" t="e">
        <f>CUBEVALUE("TessalliteTPCDS","[Measures].[discount_amount]","[month].[month].[8]")/1000000</f>
        <v>#N/A</v>
      </c>
      <c r="D49" s="15" t="e">
        <f>CUBEVALUE("TessalliteTPCDS","[Measures].[net_sales]","[month].[month].[8]")/1000000</f>
        <v>#N/A</v>
      </c>
      <c r="E49" s="15" t="e">
        <f>CUBEVALUE("TessalliteTPCDS","[Measures].[net_profit]","[month].[month].[8]")/1000000</f>
        <v>#N/A</v>
      </c>
      <c r="F49" s="16" t="e">
        <f>CUBEVALUE("TessalliteTPCDS","[Measures].[gross_margin]","[month].[month].[8]")</f>
        <v>#N/A</v>
      </c>
      <c r="G49" s="17" t="e">
        <f>CUBEVALUE("TessalliteTPCDS","[Measures].[quantity]","[month].[month].[8]")/1000</f>
        <v>#N/A</v>
      </c>
      <c r="H49" s="17"/>
      <c r="I49" s="1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6"/>
      <c r="V49" s="6"/>
      <c r="W49" s="6"/>
      <c r="X49" s="6"/>
      <c r="Y49" s="6"/>
      <c r="Z49" s="6"/>
    </row>
    <row r="50" spans="1:26" x14ac:dyDescent="0.4">
      <c r="A50" s="22" t="s">
        <v>89</v>
      </c>
      <c r="B50" s="15" t="e">
        <f>CUBEVALUE("TessalliteTPCDS","[Measures].[gross_sales]","[month].[month].[9]")/1000000</f>
        <v>#N/A</v>
      </c>
      <c r="C50" s="15" t="e">
        <f>CUBEVALUE("TessalliteTPCDS","[Measures].[discount_amount]","[month].[month].[9]")/1000000</f>
        <v>#N/A</v>
      </c>
      <c r="D50" s="15" t="e">
        <f>CUBEVALUE("TessalliteTPCDS","[Measures].[net_sales]","[month].[month].[9]")/1000000</f>
        <v>#N/A</v>
      </c>
      <c r="E50" s="15" t="e">
        <f>CUBEVALUE("TessalliteTPCDS","[Measures].[net_profit]","[month].[month].[9]")/1000000</f>
        <v>#N/A</v>
      </c>
      <c r="F50" s="16" t="e">
        <f>CUBEVALUE("TessalliteTPCDS","[Measures].[gross_margin]","[month].[month].[9]")</f>
        <v>#N/A</v>
      </c>
      <c r="G50" s="17" t="e">
        <f>CUBEVALUE("TessalliteTPCDS","[Measures].[quantity]","[month].[month].[9]")/1000</f>
        <v>#N/A</v>
      </c>
      <c r="H50" s="17"/>
      <c r="I50" s="17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6"/>
      <c r="V50" s="6"/>
      <c r="W50" s="6"/>
      <c r="X50" s="6"/>
      <c r="Y50" s="6"/>
      <c r="Z50" s="6"/>
    </row>
    <row r="51" spans="1:26" x14ac:dyDescent="0.4">
      <c r="A51" s="22" t="s">
        <v>90</v>
      </c>
      <c r="B51" s="15" t="e">
        <f>CUBEVALUE("TessalliteTPCDS","[Measures].[gross_sales]","[month].[month].[10]")/1000000</f>
        <v>#N/A</v>
      </c>
      <c r="C51" s="15" t="e">
        <f>CUBEVALUE("TessalliteTPCDS","[Measures].[discount_amount]","[month].[month].[10]")/1000000</f>
        <v>#N/A</v>
      </c>
      <c r="D51" s="15" t="e">
        <f>CUBEVALUE("TessalliteTPCDS","[Measures].[net_sales]","[month].[month].[10]")/1000000</f>
        <v>#N/A</v>
      </c>
      <c r="E51" s="15" t="e">
        <f>CUBEVALUE("TessalliteTPCDS","[Measures].[net_profit]","[month].[month].[10]")/1000000</f>
        <v>#N/A</v>
      </c>
      <c r="F51" s="16" t="e">
        <f>CUBEVALUE("TessalliteTPCDS","[Measures].[gross_margin]","[month].[month].[10]")</f>
        <v>#N/A</v>
      </c>
      <c r="G51" s="17" t="e">
        <f>CUBEVALUE("TessalliteTPCDS","[Measures].[quantity]","[month].[month].[10]")/1000</f>
        <v>#N/A</v>
      </c>
      <c r="H51" s="17"/>
      <c r="I51" s="1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6"/>
      <c r="V51" s="6"/>
      <c r="W51" s="6"/>
      <c r="X51" s="6"/>
      <c r="Y51" s="6"/>
      <c r="Z51" s="6"/>
    </row>
    <row r="52" spans="1:26" x14ac:dyDescent="0.4">
      <c r="A52" s="22" t="s">
        <v>91</v>
      </c>
      <c r="B52" s="15" t="e">
        <f>CUBEVALUE("TessalliteTPCDS","[Measures].[gross_sales]","[month].[month].[11]")/1000000</f>
        <v>#N/A</v>
      </c>
      <c r="C52" s="15" t="e">
        <f>CUBEVALUE("TessalliteTPCDS","[Measures].[discount_amount]","[month].[month].[11]")/1000000</f>
        <v>#N/A</v>
      </c>
      <c r="D52" s="15" t="e">
        <f>CUBEVALUE("TessalliteTPCDS","[Measures].[net_sales]","[month].[month].[11]")/1000000</f>
        <v>#N/A</v>
      </c>
      <c r="E52" s="15" t="e">
        <f>CUBEVALUE("TessalliteTPCDS","[Measures].[net_profit]","[month].[month].[11]")/1000000</f>
        <v>#N/A</v>
      </c>
      <c r="F52" s="16" t="e">
        <f>CUBEVALUE("TessalliteTPCDS","[Measures].[gross_margin]","[month].[month].[11]")</f>
        <v>#N/A</v>
      </c>
      <c r="G52" s="17" t="e">
        <f>CUBEVALUE("TessalliteTPCDS","[Measures].[quantity]","[month].[month].[11]")/1000</f>
        <v>#N/A</v>
      </c>
      <c r="H52" s="17"/>
      <c r="I52" s="17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6"/>
      <c r="V52" s="6"/>
      <c r="W52" s="6"/>
      <c r="X52" s="6"/>
      <c r="Y52" s="6"/>
      <c r="Z52" s="6"/>
    </row>
    <row r="53" spans="1:26" x14ac:dyDescent="0.4">
      <c r="A53" s="22" t="s">
        <v>92</v>
      </c>
      <c r="B53" s="15" t="e">
        <f>CUBEVALUE("TessalliteTPCDS","[Measures].[gross_sales]","[month].[month].[12]")/1000000</f>
        <v>#N/A</v>
      </c>
      <c r="C53" s="15" t="e">
        <f>CUBEVALUE("TessalliteTPCDS","[Measures].[discount_amount]","[month].[month].[12]")/1000000</f>
        <v>#N/A</v>
      </c>
      <c r="D53" s="15" t="e">
        <f>CUBEVALUE("TessalliteTPCDS","[Measures].[net_sales]","[month].[month].[12]")/1000000</f>
        <v>#N/A</v>
      </c>
      <c r="E53" s="15" t="e">
        <f>CUBEVALUE("TessalliteTPCDS","[Measures].[net_profit]","[month].[month].[12]")/1000000</f>
        <v>#N/A</v>
      </c>
      <c r="F53" s="16" t="e">
        <f>CUBEVALUE("TessalliteTPCDS","[Measures].[gross_margin]","[month].[month].[12]")</f>
        <v>#N/A</v>
      </c>
      <c r="G53" s="17" t="e">
        <f>CUBEVALUE("TessalliteTPCDS","[Measures].[quantity]","[month].[month].[12]")/1000</f>
        <v>#N/A</v>
      </c>
      <c r="H53" s="17"/>
      <c r="I53" s="1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6"/>
      <c r="V53" s="6"/>
      <c r="W53" s="6"/>
      <c r="X53" s="6"/>
      <c r="Y53" s="6"/>
      <c r="Z53" s="6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6"/>
      <c r="V54" s="6"/>
      <c r="W54" s="6"/>
      <c r="X54" s="6"/>
      <c r="Y54" s="6"/>
      <c r="Z54" s="6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6"/>
      <c r="V55" s="6"/>
      <c r="W55" s="6"/>
      <c r="X55" s="6"/>
      <c r="Y55" s="6"/>
      <c r="Z55" s="6"/>
    </row>
    <row r="56" spans="1:26" x14ac:dyDescent="0.4">
      <c r="A56" s="14" t="s">
        <v>93</v>
      </c>
      <c r="B56" s="14" t="s">
        <v>8</v>
      </c>
      <c r="C56" s="14" t="s">
        <v>10</v>
      </c>
      <c r="D56" s="14" t="s">
        <v>11</v>
      </c>
      <c r="E56" s="14" t="s">
        <v>9</v>
      </c>
      <c r="F56" s="14" t="s">
        <v>12</v>
      </c>
      <c r="G56" s="14" t="s">
        <v>14</v>
      </c>
      <c r="H56" s="14" t="s">
        <v>15</v>
      </c>
      <c r="I56" s="9"/>
      <c r="J56" s="9"/>
      <c r="K56" s="14" t="s">
        <v>94</v>
      </c>
      <c r="L56" s="14" t="s">
        <v>10</v>
      </c>
      <c r="M56" s="14" t="s">
        <v>11</v>
      </c>
      <c r="N56" s="14" t="s">
        <v>15</v>
      </c>
      <c r="O56" s="14" t="s">
        <v>14</v>
      </c>
      <c r="P56" s="14" t="s">
        <v>20</v>
      </c>
      <c r="Q56" s="14" t="s">
        <v>17</v>
      </c>
      <c r="R56" s="9"/>
      <c r="S56" s="9"/>
      <c r="T56" s="9"/>
      <c r="U56" s="6"/>
      <c r="V56" s="6"/>
      <c r="W56" s="6"/>
      <c r="X56" s="6"/>
      <c r="Y56" s="6"/>
      <c r="Z56" s="6"/>
    </row>
    <row r="57" spans="1:26" x14ac:dyDescent="0.4">
      <c r="A57" s="18" t="s">
        <v>95</v>
      </c>
      <c r="B57" s="15" t="e">
        <f>CUBEVALUE("TessalliteTPCDS","[Measures].[gross_sales]","[store_state].[store_state].[TN]")/1000000</f>
        <v>#N/A</v>
      </c>
      <c r="C57" s="15" t="e">
        <f>CUBEVALUE("TessalliteTPCDS","[Measures].[net_sales]","[store_state].[store_state].[TN]")/1000000</f>
        <v>#N/A</v>
      </c>
      <c r="D57" s="15" t="e">
        <f>CUBEVALUE("TessalliteTPCDS","[Measures].[net_profit]","[store_state].[store_state].[TN]")/1000000</f>
        <v>#N/A</v>
      </c>
      <c r="E57" s="15" t="e">
        <f>CUBEVALUE("TessalliteTPCDS","[Measures].[discount_amount]","[store_state].[store_state].[TN]")/1000000</f>
        <v>#N/A</v>
      </c>
      <c r="F57" s="16" t="e">
        <f>CUBEVALUE("TessalliteTPCDS","[Measures].[gross_margin]","[store_state].[store_state].[TN]")</f>
        <v>#N/A</v>
      </c>
      <c r="G57" s="17"/>
      <c r="H57" s="17"/>
      <c r="I57" s="9"/>
      <c r="J57" s="9"/>
      <c r="K57" s="18" t="s">
        <v>96</v>
      </c>
      <c r="L57" s="15" t="e">
        <f>CUBEVALUE("TessalliteTPCDS","[Measures].[net_sales]","[quarter].[quarter].[1]")/1000000</f>
        <v>#N/A</v>
      </c>
      <c r="M57" s="15" t="e">
        <f>CUBEVALUE("TessalliteTPCDS","[Measures].[net_profit]","[quarter].[quarter].[1]")/1000000</f>
        <v>#N/A</v>
      </c>
      <c r="N57" s="17"/>
      <c r="O57" s="17"/>
      <c r="P57" s="20"/>
      <c r="Q57" s="20"/>
      <c r="R57" s="9"/>
      <c r="S57" s="9"/>
      <c r="T57" s="9"/>
      <c r="U57" s="6"/>
      <c r="V57" s="6"/>
      <c r="W57" s="6"/>
      <c r="X57" s="6"/>
      <c r="Y57" s="6"/>
      <c r="Z57" s="6"/>
    </row>
    <row r="58" spans="1:26" x14ac:dyDescent="0.4">
      <c r="A58" s="18"/>
      <c r="B58" s="15"/>
      <c r="C58" s="15"/>
      <c r="D58" s="15"/>
      <c r="E58" s="15"/>
      <c r="F58" s="16"/>
      <c r="G58" s="17"/>
      <c r="H58" s="17"/>
      <c r="I58" s="9"/>
      <c r="J58" s="9"/>
      <c r="K58" s="18" t="s">
        <v>97</v>
      </c>
      <c r="L58" s="15" t="e">
        <f>CUBEVALUE("TessalliteTPCDS","[Measures].[net_sales]","[quarter].[quarter].[2]")/1000000</f>
        <v>#N/A</v>
      </c>
      <c r="M58" s="15" t="e">
        <f>CUBEVALUE("TessalliteTPCDS","[Measures].[net_profit]","[quarter].[quarter].[2]")/1000000</f>
        <v>#N/A</v>
      </c>
      <c r="N58" s="17"/>
      <c r="O58" s="17"/>
      <c r="P58" s="20"/>
      <c r="Q58" s="20"/>
      <c r="R58" s="9"/>
      <c r="S58" s="9"/>
      <c r="T58" s="9"/>
      <c r="U58" s="6"/>
      <c r="V58" s="6"/>
      <c r="W58" s="6"/>
      <c r="X58" s="6"/>
      <c r="Y58" s="6"/>
      <c r="Z58" s="6"/>
    </row>
    <row r="59" spans="1:26" x14ac:dyDescent="0.4">
      <c r="A59" s="18"/>
      <c r="B59" s="15"/>
      <c r="C59" s="15"/>
      <c r="D59" s="15"/>
      <c r="E59" s="15"/>
      <c r="F59" s="16"/>
      <c r="G59" s="17"/>
      <c r="H59" s="17"/>
      <c r="I59" s="9"/>
      <c r="J59" s="9"/>
      <c r="K59" s="18" t="s">
        <v>98</v>
      </c>
      <c r="L59" s="15" t="e">
        <f>CUBEVALUE("TessalliteTPCDS","[Measures].[net_sales]","[quarter].[quarter].[3]")/1000000</f>
        <v>#N/A</v>
      </c>
      <c r="M59" s="15" t="e">
        <f>CUBEVALUE("TessalliteTPCDS","[Measures].[net_profit]","[quarter].[quarter].[3]")/1000000</f>
        <v>#N/A</v>
      </c>
      <c r="N59" s="17"/>
      <c r="O59" s="17"/>
      <c r="P59" s="20"/>
      <c r="Q59" s="20"/>
      <c r="R59" s="9"/>
      <c r="S59" s="9"/>
      <c r="T59" s="9"/>
      <c r="U59" s="6"/>
      <c r="V59" s="6"/>
      <c r="W59" s="6"/>
      <c r="X59" s="6"/>
      <c r="Y59" s="6"/>
      <c r="Z59" s="6"/>
    </row>
    <row r="60" spans="1:26" x14ac:dyDescent="0.4">
      <c r="A60" s="18"/>
      <c r="B60" s="15"/>
      <c r="C60" s="15"/>
      <c r="D60" s="15"/>
      <c r="E60" s="15"/>
      <c r="F60" s="16"/>
      <c r="G60" s="17"/>
      <c r="H60" s="17"/>
      <c r="I60" s="9"/>
      <c r="J60" s="9"/>
      <c r="K60" s="18" t="s">
        <v>99</v>
      </c>
      <c r="L60" s="15" t="e">
        <f>CUBEVALUE("TessalliteTPCDS","[Measures].[net_sales]","[quarter].[quarter].[4]")/1000000</f>
        <v>#N/A</v>
      </c>
      <c r="M60" s="15" t="e">
        <f>CUBEVALUE("TessalliteTPCDS","[Measures].[net_profit]","[quarter].[quarter].[4]")/1000000</f>
        <v>#N/A</v>
      </c>
      <c r="N60" s="17"/>
      <c r="O60" s="17"/>
      <c r="P60" s="20"/>
      <c r="Q60" s="20"/>
      <c r="R60" s="9"/>
      <c r="S60" s="9"/>
      <c r="T60" s="9"/>
      <c r="U60" s="6"/>
      <c r="V60" s="6"/>
      <c r="W60" s="6"/>
      <c r="X60" s="6"/>
      <c r="Y60" s="6"/>
      <c r="Z60" s="6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6"/>
      <c r="V61" s="6"/>
      <c r="W61" s="6"/>
      <c r="X61" s="6"/>
      <c r="Y61" s="6"/>
      <c r="Z61" s="6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6"/>
      <c r="V62" s="6"/>
      <c r="W62" s="6"/>
      <c r="X62" s="6"/>
      <c r="Y62" s="6"/>
      <c r="Z62" s="6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6"/>
      <c r="V63" s="6"/>
      <c r="W63" s="6"/>
      <c r="X63" s="6"/>
      <c r="Y63" s="6"/>
      <c r="Z63" s="6"/>
    </row>
    <row r="64" spans="1:26" x14ac:dyDescent="0.4">
      <c r="A64" s="14" t="s">
        <v>100</v>
      </c>
      <c r="B64" s="14" t="s">
        <v>10</v>
      </c>
      <c r="C64" s="14" t="s">
        <v>8</v>
      </c>
      <c r="D64" s="14" t="s">
        <v>9</v>
      </c>
      <c r="E64" s="14" t="s">
        <v>14</v>
      </c>
      <c r="F64" s="14" t="s">
        <v>21</v>
      </c>
      <c r="G64" s="14" t="s">
        <v>11</v>
      </c>
      <c r="H64" s="14" t="s">
        <v>22</v>
      </c>
      <c r="I64" s="9"/>
      <c r="J64" s="9"/>
      <c r="K64" s="8" t="s">
        <v>23</v>
      </c>
      <c r="L64" s="8" t="s">
        <v>24</v>
      </c>
      <c r="M64" s="8" t="s">
        <v>25</v>
      </c>
      <c r="N64" s="8" t="s">
        <v>26</v>
      </c>
      <c r="O64" s="8" t="s">
        <v>27</v>
      </c>
      <c r="P64" s="8" t="s">
        <v>28</v>
      </c>
      <c r="Q64" s="9"/>
      <c r="R64" s="14" t="s">
        <v>100</v>
      </c>
      <c r="S64" s="14" t="s">
        <v>11</v>
      </c>
      <c r="T64" s="14" t="s">
        <v>8</v>
      </c>
      <c r="U64" s="6"/>
      <c r="V64" s="6"/>
      <c r="W64" s="6"/>
      <c r="X64" s="6"/>
      <c r="Y64" s="6"/>
      <c r="Z64" s="6"/>
    </row>
    <row r="65" spans="1:26" ht="43.75" x14ac:dyDescent="0.4">
      <c r="A65" s="18" t="s">
        <v>101</v>
      </c>
      <c r="B65" s="15" t="e">
        <f>CUBEVALUE("TessalliteTPCDS","[Measures].[net_sales]","[item_class].[item_class].[kids]")/1000000</f>
        <v>#N/A</v>
      </c>
      <c r="C65" s="15" t="e">
        <f>CUBEVALUE("TessalliteTPCDS","[Measures].[gross_sales]","[item_class].[item_class].[kids]")/1000000</f>
        <v>#N/A</v>
      </c>
      <c r="D65" s="15" t="e">
        <f>CUBEVALUE("TessalliteTPCDS","[Measures].[discount_amount]","[item_class].[item_class].[kids]")/1000000</f>
        <v>#N/A</v>
      </c>
      <c r="E65" s="17"/>
      <c r="F65" s="17"/>
      <c r="G65" s="15" t="e">
        <f>CUBEVALUE("TessalliteTPCDS","[Measures].[net_profit]","[item_class].[item_class].[kids]")/1000000</f>
        <v>#N/A</v>
      </c>
      <c r="H65" s="21"/>
      <c r="I65" s="9"/>
      <c r="J65" s="9"/>
      <c r="K65" s="11" t="s">
        <v>29</v>
      </c>
      <c r="L65" s="11" t="s">
        <v>30</v>
      </c>
      <c r="M65" s="11" t="s">
        <v>31</v>
      </c>
      <c r="N65" s="11" t="s">
        <v>32</v>
      </c>
      <c r="O65" s="11" t="s">
        <v>33</v>
      </c>
      <c r="P65" s="11" t="s">
        <v>34</v>
      </c>
      <c r="Q65" s="9"/>
      <c r="R65" s="18" t="s">
        <v>101</v>
      </c>
      <c r="S65" s="15" t="e">
        <f>CUBEVALUE("TessalliteTPCDS","[Measures].[net_profit]","[item_class].[item_class].[kids]")/1000000</f>
        <v>#N/A</v>
      </c>
      <c r="T65" s="15" t="e">
        <f>CUBEVALUE("TessalliteTPCDS","[Measures].[gross_sales]","[item_class].[item_class].[kids]")/1000000</f>
        <v>#N/A</v>
      </c>
      <c r="U65" s="6"/>
      <c r="V65" s="6"/>
      <c r="W65" s="6"/>
      <c r="X65" s="6"/>
      <c r="Y65" s="6"/>
      <c r="Z65" s="6"/>
    </row>
    <row r="66" spans="1:26" ht="29.15" x14ac:dyDescent="0.4">
      <c r="A66" s="18" t="s">
        <v>102</v>
      </c>
      <c r="B66" s="15" t="e">
        <f>CUBEVALUE("TessalliteTPCDS","[Measures].[net_sales]","[item_class].[item_class].[classical]")/1000000</f>
        <v>#N/A</v>
      </c>
      <c r="C66" s="15" t="e">
        <f>CUBEVALUE("TessalliteTPCDS","[Measures].[gross_sales]","[item_class].[item_class].[classical]")/1000000</f>
        <v>#N/A</v>
      </c>
      <c r="D66" s="15" t="e">
        <f>CUBEVALUE("TessalliteTPCDS","[Measures].[discount_amount]","[item_class].[item_class].[classical]")/1000000</f>
        <v>#N/A</v>
      </c>
      <c r="E66" s="17"/>
      <c r="F66" s="17"/>
      <c r="G66" s="15" t="e">
        <f>CUBEVALUE("TessalliteTPCDS","[Measures].[net_profit]","[item_class].[item_class].[classical]")/1000000</f>
        <v>#N/A</v>
      </c>
      <c r="H66" s="21"/>
      <c r="I66" s="9"/>
      <c r="J66" s="9"/>
      <c r="K66" s="11" t="s">
        <v>35</v>
      </c>
      <c r="L66" s="11" t="s">
        <v>36</v>
      </c>
      <c r="M66" s="11" t="s">
        <v>37</v>
      </c>
      <c r="N66" s="11" t="s">
        <v>38</v>
      </c>
      <c r="O66" s="11" t="s">
        <v>39</v>
      </c>
      <c r="P66" s="11" t="s">
        <v>40</v>
      </c>
      <c r="Q66" s="9"/>
      <c r="R66" s="18" t="s">
        <v>102</v>
      </c>
      <c r="S66" s="15" t="e">
        <f>CUBEVALUE("TessalliteTPCDS","[Measures].[net_profit]","[item_class].[item_class].[classical]")/1000000</f>
        <v>#N/A</v>
      </c>
      <c r="T66" s="15" t="e">
        <f>CUBEVALUE("TessalliteTPCDS","[Measures].[gross_sales]","[item_class].[item_class].[classical]")/1000000</f>
        <v>#N/A</v>
      </c>
      <c r="U66" s="6"/>
      <c r="V66" s="6"/>
      <c r="W66" s="6"/>
      <c r="X66" s="6"/>
      <c r="Y66" s="6"/>
      <c r="Z66" s="6"/>
    </row>
    <row r="67" spans="1:26" ht="29.15" x14ac:dyDescent="0.4">
      <c r="A67" s="18" t="s">
        <v>103</v>
      </c>
      <c r="B67" s="15" t="e">
        <f>CUBEVALUE("TessalliteTPCDS","[Measures].[net_sales]","[item_class].[item_class].[mens]")/1000000</f>
        <v>#N/A</v>
      </c>
      <c r="C67" s="15" t="e">
        <f>CUBEVALUE("TessalliteTPCDS","[Measures].[gross_sales]","[item_class].[item_class].[mens]")/1000000</f>
        <v>#N/A</v>
      </c>
      <c r="D67" s="15" t="e">
        <f>CUBEVALUE("TessalliteTPCDS","[Measures].[discount_amount]","[item_class].[item_class].[mens]")/1000000</f>
        <v>#N/A</v>
      </c>
      <c r="E67" s="17"/>
      <c r="F67" s="17"/>
      <c r="G67" s="15" t="e">
        <f>CUBEVALUE("TessalliteTPCDS","[Measures].[net_profit]","[item_class].[item_class].[mens]")/1000000</f>
        <v>#N/A</v>
      </c>
      <c r="H67" s="21"/>
      <c r="I67" s="9"/>
      <c r="J67" s="9"/>
      <c r="K67" s="11" t="s">
        <v>41</v>
      </c>
      <c r="L67" s="11" t="s">
        <v>36</v>
      </c>
      <c r="M67" s="11" t="s">
        <v>42</v>
      </c>
      <c r="N67" s="11" t="s">
        <v>43</v>
      </c>
      <c r="O67" s="11" t="s">
        <v>44</v>
      </c>
      <c r="P67" s="11" t="s">
        <v>45</v>
      </c>
      <c r="Q67" s="9"/>
      <c r="R67" s="18" t="s">
        <v>103</v>
      </c>
      <c r="S67" s="15" t="e">
        <f>CUBEVALUE("TessalliteTPCDS","[Measures].[net_profit]","[item_class].[item_class].[mens]")/1000000</f>
        <v>#N/A</v>
      </c>
      <c r="T67" s="15" t="e">
        <f>CUBEVALUE("TessalliteTPCDS","[Measures].[gross_sales]","[item_class].[item_class].[mens]")/1000000</f>
        <v>#N/A</v>
      </c>
      <c r="U67" s="6"/>
      <c r="V67" s="6"/>
      <c r="W67" s="6"/>
      <c r="X67" s="6"/>
      <c r="Y67" s="6"/>
      <c r="Z67" s="6"/>
    </row>
    <row r="68" spans="1:26" ht="29.15" x14ac:dyDescent="0.4">
      <c r="A68" s="18" t="s">
        <v>104</v>
      </c>
      <c r="B68" s="15" t="e">
        <f>CUBEVALUE("TessalliteTPCDS","[Measures].[net_sales]","[item_class].[item_class].[pop]")/1000000</f>
        <v>#N/A</v>
      </c>
      <c r="C68" s="15" t="e">
        <f>CUBEVALUE("TessalliteTPCDS","[Measures].[gross_sales]","[item_class].[item_class].[pop]")/1000000</f>
        <v>#N/A</v>
      </c>
      <c r="D68" s="15" t="e">
        <f>CUBEVALUE("TessalliteTPCDS","[Measures].[discount_amount]","[item_class].[item_class].[pop]")/1000000</f>
        <v>#N/A</v>
      </c>
      <c r="E68" s="17"/>
      <c r="F68" s="17"/>
      <c r="G68" s="15" t="e">
        <f>CUBEVALUE("TessalliteTPCDS","[Measures].[net_profit]","[item_class].[item_class].[pop]")/1000000</f>
        <v>#N/A</v>
      </c>
      <c r="H68" s="21"/>
      <c r="I68" s="9"/>
      <c r="J68" s="9"/>
      <c r="K68" s="11" t="s">
        <v>46</v>
      </c>
      <c r="L68" s="11" t="s">
        <v>36</v>
      </c>
      <c r="M68" s="11" t="s">
        <v>47</v>
      </c>
      <c r="N68" s="11" t="s">
        <v>48</v>
      </c>
      <c r="O68" s="11" t="s">
        <v>49</v>
      </c>
      <c r="P68" s="11" t="s">
        <v>50</v>
      </c>
      <c r="Q68" s="9"/>
      <c r="R68" s="18" t="s">
        <v>104</v>
      </c>
      <c r="S68" s="15" t="e">
        <f>CUBEVALUE("TessalliteTPCDS","[Measures].[net_profit]","[item_class].[item_class].[pop]")/1000000</f>
        <v>#N/A</v>
      </c>
      <c r="T68" s="15" t="e">
        <f>CUBEVALUE("TessalliteTPCDS","[Measures].[gross_sales]","[item_class].[item_class].[pop]")/1000000</f>
        <v>#N/A</v>
      </c>
      <c r="U68" s="6"/>
      <c r="V68" s="6"/>
      <c r="W68" s="6"/>
      <c r="X68" s="6"/>
      <c r="Y68" s="6"/>
      <c r="Z68" s="6"/>
    </row>
    <row r="69" spans="1:26" ht="29.15" x14ac:dyDescent="0.4">
      <c r="A69" s="18" t="s">
        <v>105</v>
      </c>
      <c r="B69" s="15" t="e">
        <f>CUBEVALUE("TessalliteTPCDS","[Measures].[net_sales]","[item_class].[item_class].[shirts]")/1000000</f>
        <v>#N/A</v>
      </c>
      <c r="C69" s="15" t="e">
        <f>CUBEVALUE("TessalliteTPCDS","[Measures].[gross_sales]","[item_class].[item_class].[shirts]")/1000000</f>
        <v>#N/A</v>
      </c>
      <c r="D69" s="15" t="e">
        <f>CUBEVALUE("TessalliteTPCDS","[Measures].[discount_amount]","[item_class].[item_class].[shirts]")/1000000</f>
        <v>#N/A</v>
      </c>
      <c r="E69" s="17"/>
      <c r="F69" s="17"/>
      <c r="G69" s="15" t="e">
        <f>CUBEVALUE("TessalliteTPCDS","[Measures].[net_profit]","[item_class].[item_class].[shirts]")/1000000</f>
        <v>#N/A</v>
      </c>
      <c r="H69" s="21"/>
      <c r="I69" s="9"/>
      <c r="J69" s="9"/>
      <c r="K69" s="11" t="s">
        <v>51</v>
      </c>
      <c r="L69" s="11" t="s">
        <v>36</v>
      </c>
      <c r="M69" s="11" t="s">
        <v>52</v>
      </c>
      <c r="N69" s="11" t="s">
        <v>53</v>
      </c>
      <c r="O69" s="11" t="s">
        <v>54</v>
      </c>
      <c r="P69" s="11" t="s">
        <v>55</v>
      </c>
      <c r="Q69" s="9"/>
      <c r="R69" s="18" t="s">
        <v>105</v>
      </c>
      <c r="S69" s="15" t="e">
        <f>CUBEVALUE("TessalliteTPCDS","[Measures].[net_profit]","[item_class].[item_class].[shirts]")/1000000</f>
        <v>#N/A</v>
      </c>
      <c r="T69" s="15" t="e">
        <f>CUBEVALUE("TessalliteTPCDS","[Measures].[gross_sales]","[item_class].[item_class].[shirts]")/1000000</f>
        <v>#N/A</v>
      </c>
      <c r="U69" s="6"/>
      <c r="V69" s="6"/>
      <c r="W69" s="6"/>
      <c r="X69" s="6"/>
      <c r="Y69" s="6"/>
      <c r="Z69" s="6"/>
    </row>
    <row r="70" spans="1:26" ht="29.15" x14ac:dyDescent="0.4">
      <c r="A70" s="18" t="s">
        <v>106</v>
      </c>
      <c r="B70" s="15" t="e">
        <f>CUBEVALUE("TessalliteTPCDS","[Measures].[net_sales]","[item_class].[item_class].[fragrances]")/1000000</f>
        <v>#N/A</v>
      </c>
      <c r="C70" s="15" t="e">
        <f>CUBEVALUE("TessalliteTPCDS","[Measures].[gross_sales]","[item_class].[item_class].[fragrances]")/1000000</f>
        <v>#N/A</v>
      </c>
      <c r="D70" s="15" t="e">
        <f>CUBEVALUE("TessalliteTPCDS","[Measures].[discount_amount]","[item_class].[item_class].[fragrances]")/1000000</f>
        <v>#N/A</v>
      </c>
      <c r="E70" s="17"/>
      <c r="F70" s="17"/>
      <c r="G70" s="15" t="e">
        <f>CUBEVALUE("TessalliteTPCDS","[Measures].[net_profit]","[item_class].[item_class].[fragrances]")/1000000</f>
        <v>#N/A</v>
      </c>
      <c r="H70" s="21"/>
      <c r="I70" s="9"/>
      <c r="J70" s="9"/>
      <c r="K70" s="11" t="s">
        <v>56</v>
      </c>
      <c r="L70" s="11" t="s">
        <v>36</v>
      </c>
      <c r="M70" s="11" t="s">
        <v>57</v>
      </c>
      <c r="N70" s="11" t="s">
        <v>58</v>
      </c>
      <c r="O70" s="11" t="s">
        <v>59</v>
      </c>
      <c r="P70" s="11" t="s">
        <v>60</v>
      </c>
      <c r="Q70" s="9"/>
      <c r="R70" s="18" t="s">
        <v>106</v>
      </c>
      <c r="S70" s="15" t="e">
        <f>CUBEVALUE("TessalliteTPCDS","[Measures].[net_profit]","[item_class].[item_class].[fragrances]")/1000000</f>
        <v>#N/A</v>
      </c>
      <c r="T70" s="15" t="e">
        <f>CUBEVALUE("TessalliteTPCDS","[Measures].[gross_sales]","[item_class].[item_class].[fragrances]")/1000000</f>
        <v>#N/A</v>
      </c>
      <c r="U70" s="6"/>
      <c r="V70" s="6"/>
      <c r="W70" s="6"/>
      <c r="X70" s="6"/>
      <c r="Y70" s="6"/>
      <c r="Z70" s="6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6"/>
      <c r="V71" s="6"/>
      <c r="W71" s="6"/>
      <c r="X71" s="6"/>
      <c r="Y71" s="6"/>
      <c r="Z71" s="6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6"/>
      <c r="V72" s="6"/>
      <c r="W72" s="6"/>
      <c r="X72" s="6"/>
      <c r="Y72" s="6"/>
      <c r="Z72" s="6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6"/>
      <c r="V73" s="6"/>
      <c r="W73" s="6"/>
      <c r="X73" s="6"/>
      <c r="Y73" s="6"/>
      <c r="Z73" s="6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6"/>
      <c r="V74" s="6"/>
      <c r="W74" s="6"/>
      <c r="X74" s="6"/>
      <c r="Y74" s="6"/>
      <c r="Z74" s="6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6"/>
      <c r="V75" s="6"/>
      <c r="W75" s="6"/>
      <c r="X75" s="6"/>
      <c r="Y75" s="6"/>
      <c r="Z75" s="6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6"/>
      <c r="V76" s="6"/>
      <c r="W76" s="6"/>
      <c r="X76" s="6"/>
      <c r="Y76" s="6"/>
      <c r="Z76" s="6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6"/>
      <c r="V77" s="6"/>
      <c r="W77" s="6"/>
      <c r="X77" s="6"/>
      <c r="Y77" s="6"/>
      <c r="Z77" s="6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6"/>
      <c r="V78" s="6"/>
      <c r="W78" s="6"/>
      <c r="X78" s="6"/>
      <c r="Y78" s="6"/>
      <c r="Z78" s="6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6"/>
      <c r="V79" s="6"/>
      <c r="W79" s="6"/>
      <c r="X79" s="6"/>
      <c r="Y79" s="6"/>
      <c r="Z79" s="6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6"/>
      <c r="V80" s="6"/>
      <c r="W80" s="6"/>
      <c r="X80" s="6"/>
      <c r="Y80" s="6"/>
      <c r="Z80" s="6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6"/>
      <c r="V81" s="6"/>
      <c r="W81" s="6"/>
      <c r="X81" s="6"/>
      <c r="Y81" s="6"/>
      <c r="Z81" s="6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6"/>
      <c r="V82" s="6"/>
      <c r="W82" s="6"/>
      <c r="X82" s="6"/>
      <c r="Y82" s="6"/>
      <c r="Z82" s="6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6"/>
      <c r="V83" s="6"/>
      <c r="W83" s="6"/>
      <c r="X83" s="6"/>
      <c r="Y83" s="6"/>
      <c r="Z83" s="6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6"/>
      <c r="V84" s="6"/>
      <c r="W84" s="6"/>
      <c r="X84" s="6"/>
      <c r="Y84" s="6"/>
      <c r="Z84" s="6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6"/>
      <c r="V85" s="6"/>
      <c r="W85" s="6"/>
      <c r="X85" s="6"/>
      <c r="Y85" s="6"/>
      <c r="Z85" s="6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6"/>
      <c r="V86" s="6"/>
      <c r="W86" s="6"/>
      <c r="X86" s="6"/>
      <c r="Y86" s="6"/>
      <c r="Z86" s="6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6"/>
      <c r="V87" s="6"/>
      <c r="W87" s="6"/>
      <c r="X87" s="6"/>
      <c r="Y87" s="6"/>
      <c r="Z87" s="6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6"/>
      <c r="V88" s="6"/>
      <c r="W88" s="6"/>
      <c r="X88" s="6"/>
      <c r="Y88" s="6"/>
      <c r="Z88" s="6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6"/>
      <c r="V89" s="6"/>
      <c r="W89" s="6"/>
      <c r="X89" s="6"/>
      <c r="Y89" s="6"/>
      <c r="Z89" s="6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6"/>
      <c r="V90" s="6"/>
      <c r="W90" s="6"/>
      <c r="X90" s="6"/>
      <c r="Y90" s="6"/>
      <c r="Z90" s="6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6"/>
      <c r="V91" s="6"/>
      <c r="W91" s="6"/>
      <c r="X91" s="6"/>
      <c r="Y91" s="6"/>
      <c r="Z91" s="6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6"/>
      <c r="V92" s="6"/>
      <c r="W92" s="6"/>
      <c r="X92" s="6"/>
      <c r="Y92" s="6"/>
      <c r="Z92" s="6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6"/>
      <c r="V93" s="6"/>
      <c r="W93" s="6"/>
      <c r="X93" s="6"/>
      <c r="Y93" s="6"/>
      <c r="Z93" s="6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6"/>
      <c r="V94" s="6"/>
      <c r="W94" s="6"/>
      <c r="X94" s="6"/>
      <c r="Y94" s="6"/>
      <c r="Z94" s="6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6"/>
      <c r="V95" s="6"/>
      <c r="W95" s="6"/>
      <c r="X95" s="6"/>
      <c r="Y95" s="6"/>
      <c r="Z95" s="6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6"/>
      <c r="V96" s="6"/>
      <c r="W96" s="6"/>
      <c r="X96" s="6"/>
      <c r="Y96" s="6"/>
      <c r="Z96" s="6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6"/>
      <c r="V97" s="6"/>
      <c r="W97" s="6"/>
      <c r="X97" s="6"/>
      <c r="Y97" s="6"/>
      <c r="Z97" s="6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6"/>
      <c r="V98" s="6"/>
      <c r="W98" s="6"/>
      <c r="X98" s="6"/>
      <c r="Y98" s="6"/>
      <c r="Z98" s="6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6"/>
      <c r="V99" s="6"/>
      <c r="W99" s="6"/>
      <c r="X99" s="6"/>
      <c r="Y99" s="6"/>
      <c r="Z99" s="6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6"/>
      <c r="V100" s="6"/>
      <c r="W100" s="6"/>
      <c r="X100" s="6"/>
      <c r="Y100" s="6"/>
      <c r="Z100" s="6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6"/>
      <c r="V101" s="6"/>
      <c r="W101" s="6"/>
      <c r="X101" s="6"/>
      <c r="Y101" s="6"/>
      <c r="Z101" s="6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6"/>
      <c r="V102" s="6"/>
      <c r="W102" s="6"/>
      <c r="X102" s="6"/>
      <c r="Y102" s="6"/>
      <c r="Z102" s="6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6"/>
      <c r="V103" s="6"/>
      <c r="W103" s="6"/>
      <c r="X103" s="6"/>
      <c r="Y103" s="6"/>
      <c r="Z103" s="6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6"/>
      <c r="V104" s="6"/>
      <c r="W104" s="6"/>
      <c r="X104" s="6"/>
      <c r="Y104" s="6"/>
      <c r="Z104" s="6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6"/>
      <c r="V105" s="6"/>
      <c r="W105" s="6"/>
      <c r="X105" s="6"/>
      <c r="Y105" s="6"/>
      <c r="Z105" s="6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6"/>
      <c r="V106" s="6"/>
      <c r="W106" s="6"/>
      <c r="X106" s="6"/>
      <c r="Y106" s="6"/>
      <c r="Z106" s="6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6"/>
      <c r="V107" s="6"/>
      <c r="W107" s="6"/>
      <c r="X107" s="6"/>
      <c r="Y107" s="6"/>
      <c r="Z107" s="6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6"/>
      <c r="V108" s="6"/>
      <c r="W108" s="6"/>
      <c r="X108" s="6"/>
      <c r="Y108" s="6"/>
      <c r="Z108" s="6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6"/>
      <c r="V109" s="6"/>
      <c r="W109" s="6"/>
      <c r="X109" s="6"/>
      <c r="Y109" s="6"/>
      <c r="Z109" s="6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6"/>
      <c r="V110" s="6"/>
      <c r="W110" s="6"/>
      <c r="X110" s="6"/>
      <c r="Y110" s="6"/>
      <c r="Z110" s="6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6"/>
      <c r="V111" s="6"/>
      <c r="W111" s="6"/>
      <c r="X111" s="6"/>
      <c r="Y111" s="6"/>
      <c r="Z111" s="6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6"/>
      <c r="V112" s="6"/>
      <c r="W112" s="6"/>
      <c r="X112" s="6"/>
      <c r="Y112" s="6"/>
      <c r="Z112" s="6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6"/>
      <c r="V113" s="6"/>
      <c r="W113" s="6"/>
      <c r="X113" s="6"/>
      <c r="Y113" s="6"/>
      <c r="Z113" s="6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6"/>
      <c r="V114" s="6"/>
      <c r="W114" s="6"/>
      <c r="X114" s="6"/>
      <c r="Y114" s="6"/>
      <c r="Z114" s="6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6"/>
      <c r="V115" s="6"/>
      <c r="W115" s="6"/>
      <c r="X115" s="6"/>
      <c r="Y115" s="6"/>
      <c r="Z115" s="6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6"/>
      <c r="V116" s="6"/>
      <c r="W116" s="6"/>
      <c r="X116" s="6"/>
      <c r="Y116" s="6"/>
      <c r="Z116" s="6"/>
    </row>
  </sheetData>
  <mergeCells count="9">
    <mergeCell ref="M3:N3"/>
    <mergeCell ref="A1:L1"/>
    <mergeCell ref="A6:B6"/>
    <mergeCell ref="E6:F6"/>
    <mergeCell ref="I6:J6"/>
    <mergeCell ref="M6:N6"/>
    <mergeCell ref="I3:J3"/>
    <mergeCell ref="E3:F3"/>
    <mergeCell ref="A3:B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DAC0-E5EA-4596-AEB4-4E2F9E4B3477}">
  <dimension ref="B2:H7"/>
  <sheetViews>
    <sheetView workbookViewId="0">
      <selection activeCell="J10" sqref="J10"/>
    </sheetView>
  </sheetViews>
  <sheetFormatPr defaultRowHeight="14.6" x14ac:dyDescent="0.4"/>
  <sheetData>
    <row r="2" spans="2:8" ht="31.3" x14ac:dyDescent="0.9">
      <c r="B2" s="1" t="s">
        <v>0</v>
      </c>
    </row>
    <row r="3" spans="2:8" x14ac:dyDescent="0.4">
      <c r="B3" s="4" t="s">
        <v>1</v>
      </c>
      <c r="C3" s="4" t="s">
        <v>2</v>
      </c>
      <c r="D3" s="4" t="s">
        <v>3</v>
      </c>
      <c r="E3" s="4" t="s">
        <v>2</v>
      </c>
      <c r="F3" s="4" t="s">
        <v>3</v>
      </c>
    </row>
    <row r="4" spans="2:8" x14ac:dyDescent="0.4">
      <c r="B4" s="2">
        <v>50</v>
      </c>
      <c r="C4" s="2">
        <v>50</v>
      </c>
      <c r="D4" s="3">
        <v>100</v>
      </c>
      <c r="E4" s="2">
        <v>75</v>
      </c>
      <c r="F4" s="2">
        <v>175</v>
      </c>
      <c r="H4" s="5" t="s">
        <v>4</v>
      </c>
    </row>
    <row r="5" spans="2:8" x14ac:dyDescent="0.4">
      <c r="B5" s="2">
        <v>50</v>
      </c>
      <c r="C5" s="2">
        <v>60</v>
      </c>
      <c r="D5" s="2"/>
      <c r="E5" s="2">
        <v>75</v>
      </c>
      <c r="F5" s="2"/>
    </row>
    <row r="6" spans="2:8" x14ac:dyDescent="0.4">
      <c r="B6" s="2">
        <v>50</v>
      </c>
      <c r="C6" s="2">
        <v>70</v>
      </c>
      <c r="D6" s="2"/>
      <c r="E6" s="2">
        <v>75</v>
      </c>
      <c r="F6" s="2"/>
    </row>
    <row r="7" spans="2:8" x14ac:dyDescent="0.4">
      <c r="B7" s="2">
        <v>50</v>
      </c>
      <c r="C7" s="2">
        <v>80</v>
      </c>
      <c r="D7" s="2"/>
      <c r="E7" s="2">
        <v>75</v>
      </c>
      <c r="F7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21F3-7C13-46D0-B89F-A0258F079CED}">
  <dimension ref="A1"/>
  <sheetViews>
    <sheetView topLeftCell="D1" workbookViewId="0">
      <selection activeCell="D1" sqref="D1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Othman</dc:creator>
  <cp:lastModifiedBy>Mohammed Othman</cp:lastModifiedBy>
  <dcterms:created xsi:type="dcterms:W3CDTF">2026-06-24T23:54:34Z</dcterms:created>
  <dcterms:modified xsi:type="dcterms:W3CDTF">2026-06-27T15:12:46Z</dcterms:modified>
</cp:coreProperties>
</file>